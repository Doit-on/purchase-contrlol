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88EFB7-7976-4630-977A-6742EEB5D2E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จัดซื้อ 1" sheetId="1" r:id="rId1"/>
    <sheet name="Supplier 67-69" sheetId="3" r:id="rId2"/>
  </sheets>
  <calcPr calcId="191029"/>
</workbook>
</file>

<file path=xl/calcChain.xml><?xml version="1.0" encoding="utf-8"?>
<calcChain xmlns="http://schemas.openxmlformats.org/spreadsheetml/2006/main">
  <c r="O4" i="1" l="1"/>
  <c r="N4" i="1"/>
  <c r="P4" i="1" s="1"/>
  <c r="M4" i="1"/>
  <c r="L4" i="1"/>
  <c r="K4" i="1"/>
  <c r="H4" i="1"/>
  <c r="D65" i="3"/>
  <c r="N71" i="3"/>
  <c r="I79" i="3"/>
  <c r="I71" i="3"/>
  <c r="D79" i="3"/>
  <c r="D71" i="3"/>
  <c r="I65" i="3"/>
  <c r="N65" i="3"/>
  <c r="N46" i="3"/>
  <c r="I46" i="3"/>
  <c r="D46" i="3"/>
  <c r="N39" i="3"/>
  <c r="I39" i="3"/>
  <c r="D93" i="3"/>
  <c r="N93" i="3"/>
  <c r="I93" i="3"/>
  <c r="F93" i="3"/>
  <c r="Q92" i="3"/>
  <c r="Q91" i="3"/>
  <c r="P92" i="3"/>
  <c r="P91" i="3"/>
  <c r="P93" i="3" s="1"/>
  <c r="L90" i="3"/>
  <c r="L89" i="3"/>
  <c r="L88" i="3"/>
  <c r="L87" i="3"/>
  <c r="L86" i="3"/>
  <c r="L85" i="3"/>
  <c r="L84" i="3"/>
  <c r="L83" i="3"/>
  <c r="L82" i="3"/>
  <c r="K90" i="3"/>
  <c r="K89" i="3"/>
  <c r="K88" i="3"/>
  <c r="K87" i="3"/>
  <c r="K86" i="3"/>
  <c r="K85" i="3"/>
  <c r="K84" i="3"/>
  <c r="K83" i="3"/>
  <c r="K82" i="3"/>
  <c r="G87" i="3"/>
  <c r="G85" i="3"/>
  <c r="L78" i="3"/>
  <c r="L77" i="3"/>
  <c r="L76" i="3"/>
  <c r="L75" i="3"/>
  <c r="L74" i="3"/>
  <c r="L73" i="3"/>
  <c r="K78" i="3"/>
  <c r="K77" i="3"/>
  <c r="K76" i="3"/>
  <c r="K75" i="3"/>
  <c r="K74" i="3"/>
  <c r="K73" i="3"/>
  <c r="G78" i="3"/>
  <c r="F78" i="3"/>
  <c r="G77" i="3"/>
  <c r="F77" i="3"/>
  <c r="G76" i="3"/>
  <c r="F76" i="3"/>
  <c r="F79" i="3" s="1"/>
  <c r="G74" i="3"/>
  <c r="F74" i="3"/>
  <c r="G73" i="3"/>
  <c r="F73" i="3"/>
  <c r="Q70" i="3"/>
  <c r="Q69" i="3"/>
  <c r="Q68" i="3"/>
  <c r="N96" i="3" l="1"/>
  <c r="K79" i="3"/>
  <c r="I96" i="3"/>
  <c r="D96" i="3"/>
  <c r="K93" i="3"/>
  <c r="P70" i="3"/>
  <c r="P69" i="3"/>
  <c r="P68" i="3"/>
  <c r="P71" i="3" s="1"/>
  <c r="L70" i="3"/>
  <c r="L69" i="3"/>
  <c r="L68" i="3"/>
  <c r="K70" i="3"/>
  <c r="K69" i="3"/>
  <c r="K68" i="3"/>
  <c r="K71" i="3" l="1"/>
  <c r="G70" i="3"/>
  <c r="F70" i="3"/>
  <c r="G69" i="3"/>
  <c r="F69" i="3"/>
  <c r="G68" i="3"/>
  <c r="F68" i="3"/>
  <c r="F71" i="3" s="1"/>
  <c r="Q58" i="3" l="1"/>
  <c r="P58" i="3"/>
  <c r="Q60" i="3"/>
  <c r="P60" i="3"/>
  <c r="Q64" i="3"/>
  <c r="Q63" i="3"/>
  <c r="Q62" i="3"/>
  <c r="Q61" i="3"/>
  <c r="Q56" i="3"/>
  <c r="Q55" i="3"/>
  <c r="Q54" i="3"/>
  <c r="Q53" i="3"/>
  <c r="P56" i="3"/>
  <c r="Q52" i="3"/>
  <c r="Q50" i="3"/>
  <c r="P52" i="3"/>
  <c r="P50" i="3"/>
  <c r="P64" i="3" l="1"/>
  <c r="P63" i="3"/>
  <c r="P62" i="3"/>
  <c r="P61" i="3"/>
  <c r="P55" i="3"/>
  <c r="P54" i="3"/>
  <c r="P53" i="3"/>
  <c r="P65" i="3" s="1"/>
  <c r="L55" i="3"/>
  <c r="L54" i="3"/>
  <c r="L53" i="3"/>
  <c r="L51" i="3"/>
  <c r="L49" i="3"/>
  <c r="K55" i="3"/>
  <c r="K54" i="3"/>
  <c r="K53" i="3"/>
  <c r="K51" i="3"/>
  <c r="K49" i="3"/>
  <c r="G63" i="3"/>
  <c r="F63" i="3"/>
  <c r="F56" i="3"/>
  <c r="G56" i="3"/>
  <c r="K65" i="3" l="1"/>
  <c r="G61" i="3"/>
  <c r="G59" i="3"/>
  <c r="G57" i="3"/>
  <c r="G55" i="3"/>
  <c r="G54" i="3"/>
  <c r="G53" i="3"/>
  <c r="G51" i="3"/>
  <c r="G49" i="3"/>
  <c r="F61" i="3"/>
  <c r="F59" i="3"/>
  <c r="F57" i="3"/>
  <c r="F55" i="3"/>
  <c r="F54" i="3"/>
  <c r="F53" i="3"/>
  <c r="F51" i="3"/>
  <c r="F49" i="3"/>
  <c r="F65" i="3" l="1"/>
  <c r="L45" i="3"/>
  <c r="K45" i="3"/>
  <c r="L44" i="3"/>
  <c r="K44" i="3"/>
  <c r="L43" i="3"/>
  <c r="K43" i="3"/>
  <c r="L42" i="3"/>
  <c r="K42" i="3"/>
  <c r="K46" i="3" s="1"/>
  <c r="G45" i="3" l="1"/>
  <c r="G44" i="3"/>
  <c r="G43" i="3"/>
  <c r="G42" i="3"/>
  <c r="F45" i="3"/>
  <c r="F44" i="3"/>
  <c r="F43" i="3"/>
  <c r="F42" i="3"/>
  <c r="F46" i="3" s="1"/>
  <c r="F96" i="3" s="1"/>
  <c r="F98" i="3" s="1"/>
  <c r="Q45" i="3" l="1"/>
  <c r="Q44" i="3"/>
  <c r="Q43" i="3"/>
  <c r="Q42" i="3"/>
  <c r="P45" i="3"/>
  <c r="P44" i="3"/>
  <c r="P43" i="3"/>
  <c r="P42" i="3"/>
  <c r="P46" i="3" s="1"/>
  <c r="Q3" i="3" l="1"/>
  <c r="Q9" i="3"/>
  <c r="P9" i="3"/>
  <c r="Q21" i="3"/>
  <c r="Q20" i="3"/>
  <c r="Q19" i="3"/>
  <c r="Q18" i="3"/>
  <c r="Q17" i="3"/>
  <c r="Q16" i="3"/>
  <c r="Q15" i="3"/>
  <c r="Q13" i="3"/>
  <c r="Q12" i="3"/>
  <c r="Q11" i="3"/>
  <c r="Q8" i="3"/>
  <c r="Q7" i="3"/>
  <c r="Q5" i="3"/>
  <c r="Q4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3" i="3"/>
  <c r="L12" i="3"/>
  <c r="L11" i="3"/>
  <c r="L9" i="3"/>
  <c r="L8" i="3"/>
  <c r="L5" i="3"/>
  <c r="L4" i="3"/>
  <c r="L3" i="3"/>
  <c r="L7" i="3"/>
  <c r="P20" i="3"/>
  <c r="P16" i="3"/>
  <c r="P5" i="3"/>
  <c r="P4" i="3"/>
  <c r="P19" i="3" l="1"/>
  <c r="P18" i="3"/>
  <c r="P17" i="3"/>
  <c r="P15" i="3"/>
  <c r="P21" i="3" l="1"/>
  <c r="P13" i="3"/>
  <c r="P12" i="3"/>
  <c r="P11" i="3"/>
  <c r="P39" i="3" s="1"/>
  <c r="P96" i="3" s="1"/>
  <c r="P98" i="3" s="1"/>
  <c r="G21" i="3" l="1"/>
  <c r="K38" i="3"/>
  <c r="K37" i="3"/>
  <c r="K36" i="3"/>
  <c r="K35" i="3"/>
  <c r="K34" i="3"/>
  <c r="K33" i="3"/>
  <c r="K32" i="3"/>
  <c r="G26" i="3"/>
  <c r="K31" i="3"/>
  <c r="G25" i="3"/>
  <c r="K30" i="3"/>
  <c r="G24" i="3"/>
  <c r="K29" i="3"/>
  <c r="G23" i="3"/>
  <c r="K28" i="3"/>
  <c r="G19" i="3"/>
  <c r="K27" i="3"/>
  <c r="G18" i="3"/>
  <c r="G17" i="3"/>
  <c r="G16" i="3"/>
  <c r="K21" i="3"/>
  <c r="G15" i="3"/>
  <c r="K19" i="3"/>
  <c r="K18" i="3"/>
  <c r="K17" i="3"/>
  <c r="G13" i="3"/>
  <c r="K16" i="3"/>
  <c r="G12" i="3"/>
  <c r="K15" i="3"/>
  <c r="G11" i="3"/>
  <c r="K13" i="3"/>
  <c r="G9" i="3"/>
  <c r="K12" i="3"/>
  <c r="G8" i="3"/>
  <c r="K11" i="3"/>
  <c r="G7" i="3"/>
  <c r="K8" i="3"/>
  <c r="G4" i="3"/>
  <c r="K7" i="3"/>
  <c r="G3" i="3"/>
  <c r="H2" i="1"/>
  <c r="N2" i="1"/>
  <c r="P2" i="1" s="1"/>
  <c r="L2" i="1"/>
  <c r="K2" i="1"/>
  <c r="O2" i="1" s="1"/>
  <c r="M2" i="1" l="1"/>
  <c r="K39" i="3"/>
  <c r="K96" i="3" s="1"/>
  <c r="K9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DC227611-58E2-45CE-9BAD-3A1EDACB03B3}">
      <text>
        <r>
          <rPr>
            <b/>
            <sz val="9"/>
            <color indexed="81"/>
            <rFont val="Tahoma"/>
            <family val="2"/>
          </rPr>
          <t xml:space="preserve">USER: ตัวเลขเป้าสมมติค่ะ
</t>
        </r>
      </text>
    </comment>
  </commentList>
</comments>
</file>

<file path=xl/sharedStrings.xml><?xml version="1.0" encoding="utf-8"?>
<sst xmlns="http://schemas.openxmlformats.org/spreadsheetml/2006/main" count="206" uniqueCount="166">
  <si>
    <t>รหัสสินค้า</t>
  </si>
  <si>
    <t>ชื่อสินค้า</t>
  </si>
  <si>
    <t>หน่วย</t>
  </si>
  <si>
    <t>ราคาขาย</t>
  </si>
  <si>
    <t>ผู้เขียน</t>
  </si>
  <si>
    <t>04004200E</t>
  </si>
  <si>
    <t>ฝึกมือ</t>
  </si>
  <si>
    <t>เล่ม</t>
  </si>
  <si>
    <t>ประชุมพร สุวรรณตรา</t>
  </si>
  <si>
    <t>คณะเซนต์คาเบรียล</t>
  </si>
  <si>
    <t>05032800A</t>
  </si>
  <si>
    <t>บฝ. ดรุณศึกษา ป.1</t>
  </si>
  <si>
    <t>05032800B</t>
  </si>
  <si>
    <t>จำนวนพิมพ์</t>
  </si>
  <si>
    <t>มูลค่า</t>
  </si>
  <si>
    <t>คิดเป็น% ต่อปก</t>
  </si>
  <si>
    <t>จุดคุ้มทุน: เล่ม</t>
  </si>
  <si>
    <t>ต้นทุนต่อเล่ม (บาท)</t>
  </si>
  <si>
    <t>เป้าขาย</t>
  </si>
  <si>
    <t>รวมสินค้าพร้อมขาย</t>
  </si>
  <si>
    <t>สินค้าเหลือปลายงวด</t>
  </si>
  <si>
    <t xml:space="preserve">สินค้าคงเหลือเฉพาะคลัง LMI </t>
  </si>
  <si>
    <t>สินค้าขาดเป้าขาย</t>
  </si>
  <si>
    <t>ต้นทุนรวม Vat 7 %</t>
  </si>
  <si>
    <t xml:space="preserve">รายการสินค้า </t>
  </si>
  <si>
    <t>ราคาปก</t>
  </si>
  <si>
    <t>จำนวนเงิน</t>
  </si>
  <si>
    <t>EXPLORING READING &amp; WRITING BOOK 1</t>
  </si>
  <si>
    <t>Step Up Reading &amp; Writing Book 1</t>
  </si>
  <si>
    <t>EXPLORING READING &amp; WRITING BOOK 2</t>
  </si>
  <si>
    <t>Step Up Reading &amp; Writing Book 2</t>
  </si>
  <si>
    <t>Moving Up Critical Reading Book 2</t>
  </si>
  <si>
    <t>Step Up Reading &amp; Writing Book 3</t>
  </si>
  <si>
    <t>Moving Up Critical Reading Book 3</t>
  </si>
  <si>
    <t>Moving Up Critical Reading book 1</t>
  </si>
  <si>
    <t>ดรุณศึกษา ปฐมวัย</t>
  </si>
  <si>
    <t>ดรุณศึกษา ป.1</t>
  </si>
  <si>
    <t>ดรุณศึกษา ป.2</t>
  </si>
  <si>
    <t>ดรุณศึกษา ป.3</t>
  </si>
  <si>
    <t>ดรุณศึกษา ป.4</t>
  </si>
  <si>
    <t xml:space="preserve">Get Involved! Student  ม.1 </t>
  </si>
  <si>
    <t>Get Involved! Student  ม.2</t>
  </si>
  <si>
    <t>A B C BOOK I</t>
  </si>
  <si>
    <t>Get Involved! Student  ม.3</t>
  </si>
  <si>
    <t>A B C BOOK II</t>
  </si>
  <si>
    <t>Get Involved! Student  ม.4</t>
  </si>
  <si>
    <t>My Handwriting Book 1 A B C</t>
  </si>
  <si>
    <t>Get Involved! Student  ม.5</t>
  </si>
  <si>
    <t>My Handwriting Book 2 a b c</t>
  </si>
  <si>
    <t>Get Involved! Student  ม.6</t>
  </si>
  <si>
    <t>แบบเรียน ก ข</t>
  </si>
  <si>
    <t>Get Involved!  Workbook ม.1</t>
  </si>
  <si>
    <t>Get Involved!  Workbook ม.2</t>
  </si>
  <si>
    <t>Get Involved!  Workbook ม.3</t>
  </si>
  <si>
    <t>Get Involved!  Workbook ม.4</t>
  </si>
  <si>
    <t>Get Involved!  Workbook ม.5</t>
  </si>
  <si>
    <t>Get Involved!  Workbook ม.6</t>
  </si>
  <si>
    <t>EXPLORING READING &amp; WRITING BOOK 3</t>
  </si>
  <si>
    <t>คิดเป็น % ต่อปก</t>
  </si>
  <si>
    <t>บาท</t>
  </si>
  <si>
    <t>คำกลอนสอน กไก่</t>
  </si>
  <si>
    <t>05001900F</t>
  </si>
  <si>
    <t>05001500G</t>
  </si>
  <si>
    <t>05001600F</t>
  </si>
  <si>
    <t>05001700G</t>
  </si>
  <si>
    <t>05001800G</t>
  </si>
  <si>
    <t>05032900B</t>
  </si>
  <si>
    <t>บฝ. ดรุณศึกษา ป.2</t>
  </si>
  <si>
    <t>05033000A</t>
  </si>
  <si>
    <t>บฝ. ดรุณศึกษา ป.3</t>
  </si>
  <si>
    <t>05033100A</t>
  </si>
  <si>
    <t>บฝ. ดรุณศึกษา ป.4</t>
  </si>
  <si>
    <t>06128001C</t>
  </si>
  <si>
    <t>06128101C</t>
  </si>
  <si>
    <t>06128201A</t>
  </si>
  <si>
    <t>New World Student Book 3</t>
  </si>
  <si>
    <t>06128301A</t>
  </si>
  <si>
    <t>New World Student Book 4</t>
  </si>
  <si>
    <t>06128401A</t>
  </si>
  <si>
    <t>New World Student Book 5</t>
  </si>
  <si>
    <t>06128501A</t>
  </si>
  <si>
    <t>New World Student Book 6</t>
  </si>
  <si>
    <t>06128601A</t>
  </si>
  <si>
    <t>06128701A</t>
  </si>
  <si>
    <t>06128801A</t>
  </si>
  <si>
    <t>New World Workbook 3</t>
  </si>
  <si>
    <t>06128901A</t>
  </si>
  <si>
    <t>New World Workbook 4</t>
  </si>
  <si>
    <t>06129001A</t>
  </si>
  <si>
    <t>New World Workbook 5</t>
  </si>
  <si>
    <t>06129101A</t>
  </si>
  <si>
    <t>New World Workbook 6</t>
  </si>
  <si>
    <t>06106502A</t>
  </si>
  <si>
    <t>FIFTY-FIFTY INTRO</t>
  </si>
  <si>
    <t>06117002A</t>
  </si>
  <si>
    <t>FIFTY-FIFTY BOOK TWO</t>
  </si>
  <si>
    <t>06140002A</t>
  </si>
  <si>
    <t>NEW Weaving It Together 1</t>
  </si>
  <si>
    <t>06140102A</t>
  </si>
  <si>
    <t>NEW Weaving It Together 2</t>
  </si>
  <si>
    <t>06140202A</t>
  </si>
  <si>
    <t>NEW Weaving It Together 3</t>
  </si>
  <si>
    <t>06129402A</t>
  </si>
  <si>
    <t>06129502A</t>
  </si>
  <si>
    <t>06129602A</t>
  </si>
  <si>
    <t>06129702B</t>
  </si>
  <si>
    <t>06050100F</t>
  </si>
  <si>
    <t>06050200F</t>
  </si>
  <si>
    <t>เฉลี่ยเล่มละ</t>
  </si>
  <si>
    <t>06129202A</t>
  </si>
  <si>
    <t>06129302A</t>
  </si>
  <si>
    <t>06050000F</t>
  </si>
  <si>
    <t>05000100E</t>
  </si>
  <si>
    <t>05032300C</t>
  </si>
  <si>
    <t>06000400F</t>
  </si>
  <si>
    <t>06000500E</t>
  </si>
  <si>
    <t>06121400A</t>
  </si>
  <si>
    <t>06121500A</t>
  </si>
  <si>
    <t>06165002A</t>
  </si>
  <si>
    <t>06165102A</t>
  </si>
  <si>
    <t>06165202A</t>
  </si>
  <si>
    <t>06165302A</t>
  </si>
  <si>
    <t>06165402A</t>
  </si>
  <si>
    <t>06165502A</t>
  </si>
  <si>
    <t>06165602A</t>
  </si>
  <si>
    <t>06165702A</t>
  </si>
  <si>
    <t>06165802A</t>
  </si>
  <si>
    <t>06165902A</t>
  </si>
  <si>
    <t>06166002A</t>
  </si>
  <si>
    <t>06166102A</t>
  </si>
  <si>
    <t>Sup. : โรงพิมพ์พงษวริน   67</t>
  </si>
  <si>
    <t>ต้นทุน 69</t>
  </si>
  <si>
    <t>ต้นทุน 68</t>
  </si>
  <si>
    <t>ต้นทุน 67</t>
  </si>
  <si>
    <t>New World Student Book 1</t>
  </si>
  <si>
    <t>New World Student Book 2</t>
  </si>
  <si>
    <t>New World Workbook 1</t>
  </si>
  <si>
    <t>New World Workbook 2</t>
  </si>
  <si>
    <t>06128001A</t>
  </si>
  <si>
    <t>06128101A</t>
  </si>
  <si>
    <t>06128601C</t>
  </si>
  <si>
    <t>06128701C</t>
  </si>
  <si>
    <t>New World Student Book 1 อญ.ใหม่ ปรับราคา</t>
  </si>
  <si>
    <t>New World Student Book 2  อญ.ใหม่ ปรับราคา</t>
  </si>
  <si>
    <t>New World Workbook 1  อญ.ใหม่</t>
  </si>
  <si>
    <t>New World Workbook 2  อญ.ใหม่</t>
  </si>
  <si>
    <t xml:space="preserve">Sup. : โรงพิมพ์เฟิสท์ออฟเซ็ท </t>
  </si>
  <si>
    <t xml:space="preserve">Sup. : MCGraw-Hill   </t>
  </si>
  <si>
    <t>Sup. : Cengage</t>
  </si>
  <si>
    <t>FIFTY-FIFTY BOOK ONE</t>
  </si>
  <si>
    <t>Chat Away 1</t>
  </si>
  <si>
    <t>Chat Away 2</t>
  </si>
  <si>
    <t>Chat Away 3</t>
  </si>
  <si>
    <t>Sup. : Pearson</t>
  </si>
  <si>
    <t>ปี 69 ไม่มีพิมพ์</t>
  </si>
  <si>
    <t>Sup. : โรงพิมพ์ไอดีออล พริ้นท์ติ้ง พิมพ์เฉพาะกิจ</t>
  </si>
  <si>
    <t>*** ในกรณีนี้ ราคาต้นทุนต่างกัน แต่รายการเดียวกัน เพราะมีการสั่งพิมพ์เพิ่มภายหลัง</t>
  </si>
  <si>
    <t>จำนวนผลิต 67 เล่ม</t>
  </si>
  <si>
    <t>จำนวนผลิต 68 เล่ม</t>
  </si>
  <si>
    <t>จำนวนผลิต 69 เล่ม</t>
  </si>
  <si>
    <t>รวม ค่าใช้จ่ายในการผลิต ปี 67/68/69</t>
  </si>
  <si>
    <t xml:space="preserve"> หมายเหตุ  : ที่ต้องการนำไปทำโปรแกรมวิเคราะห์ข้อมูลในการจัดซื้อ ที่จะนำข้อมูลในระบบมาใช้ค่ะ </t>
  </si>
  <si>
    <t>06114702A</t>
  </si>
  <si>
    <t>06163102A</t>
  </si>
  <si>
    <t>06163202A</t>
  </si>
  <si>
    <t>06163302A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</si>
</sst>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_ ;\-#,##0.00\ "/>
    <numFmt numFmtId="189" formatCode="#,##0_ ;\-#,##0\ "/>
  </numFmts>
  <fonts count="49">
    <font>
      <sz val="11"/>
      <name val="Calibri"/>
      <charset val="1"/>
    </font>
    <font>
      <sz val="10"/>
      <color rgb="FF6D6D6D"/>
      <name val="Tahoma"/>
      <charset val="1"/>
    </font>
    <font>
      <sz val="10"/>
      <color rgb="FF000000"/>
      <name val="Tahoma"/>
      <charset val="1"/>
    </font>
    <font>
      <sz val="10"/>
      <color theme="1"/>
      <name val="Tahoma"/>
      <family val="2"/>
    </font>
    <font>
      <sz val="11"/>
      <name val="Calibri"/>
      <charset val="1"/>
    </font>
    <font>
      <sz val="10"/>
      <color rgb="FF000000"/>
      <name val="Tahoma"/>
      <family val="2"/>
    </font>
    <font>
      <sz val="10"/>
      <color rgb="FF6D6D6D"/>
      <name val="Tahoma"/>
      <family val="2"/>
    </font>
    <font>
      <sz val="10"/>
      <name val="Tahoma"/>
      <family val="2"/>
    </font>
    <font>
      <b/>
      <sz val="9"/>
      <color indexed="81"/>
      <name val="Tahoma"/>
      <family val="2"/>
    </font>
    <font>
      <b/>
      <sz val="22"/>
      <name val="Tahoma"/>
      <family val="2"/>
    </font>
    <font>
      <b/>
      <sz val="20"/>
      <color theme="1"/>
      <name val="Tahoma"/>
      <family val="2"/>
      <scheme val="minor"/>
    </font>
    <font>
      <sz val="8"/>
      <name val="Calibri"/>
      <charset val="1"/>
    </font>
    <font>
      <b/>
      <sz val="8"/>
      <name val="Saraburi"/>
      <charset val="222"/>
    </font>
    <font>
      <b/>
      <sz val="8"/>
      <color theme="1"/>
      <name val="Saraburi"/>
      <charset val="222"/>
    </font>
    <font>
      <sz val="8"/>
      <name val="Calibri"/>
      <family val="2"/>
    </font>
    <font>
      <b/>
      <sz val="8"/>
      <color theme="1"/>
      <name val="Tahoma"/>
      <family val="2"/>
      <scheme val="minor"/>
    </font>
    <font>
      <b/>
      <sz val="8"/>
      <color rgb="FF000000"/>
      <name val="TH Sarabun New"/>
      <family val="2"/>
    </font>
    <font>
      <b/>
      <sz val="8"/>
      <name val="TH Sarabun New"/>
      <family val="2"/>
    </font>
    <font>
      <b/>
      <sz val="8"/>
      <color rgb="FF0070C0"/>
      <name val="Saraburi"/>
      <charset val="222"/>
    </font>
    <font>
      <b/>
      <sz val="8"/>
      <color theme="1"/>
      <name val="TH Sarabun New"/>
      <family val="2"/>
    </font>
    <font>
      <sz val="8"/>
      <name val="Saraburi"/>
      <charset val="222"/>
    </font>
    <font>
      <sz val="8"/>
      <color theme="1"/>
      <name val="Saraburi"/>
      <charset val="222"/>
    </font>
    <font>
      <sz val="9"/>
      <name val="Calibri"/>
      <family val="2"/>
    </font>
    <font>
      <b/>
      <sz val="8"/>
      <name val="Calibri"/>
      <family val="2"/>
      <charset val="222"/>
    </font>
    <font>
      <sz val="8"/>
      <name val="Calibri"/>
      <family val="2"/>
      <charset val="222"/>
    </font>
    <font>
      <b/>
      <sz val="8"/>
      <color rgb="FF6D6D6D"/>
      <name val="TH Sarabun New"/>
      <family val="2"/>
      <charset val="222"/>
    </font>
    <font>
      <sz val="8"/>
      <color theme="1" tint="0.249977111117893"/>
      <name val="Calibri"/>
      <family val="2"/>
    </font>
    <font>
      <b/>
      <sz val="10"/>
      <name val="Tahoma"/>
      <family val="2"/>
    </font>
    <font>
      <b/>
      <sz val="8"/>
      <color theme="1"/>
      <name val="Tahoma"/>
      <family val="2"/>
      <scheme val="major"/>
    </font>
    <font>
      <b/>
      <sz val="8"/>
      <name val="Tahoma"/>
      <family val="2"/>
      <scheme val="major"/>
    </font>
    <font>
      <b/>
      <sz val="8"/>
      <name val="Tahoma"/>
      <family val="2"/>
      <charset val="222"/>
      <scheme val="minor"/>
    </font>
    <font>
      <b/>
      <sz val="8"/>
      <color theme="1"/>
      <name val="Tahoma"/>
      <family val="2"/>
      <charset val="222"/>
      <scheme val="minor"/>
    </font>
    <font>
      <b/>
      <sz val="8"/>
      <color rgb="FF000000"/>
      <name val="TH Sarabun New"/>
      <family val="2"/>
      <charset val="222"/>
    </font>
    <font>
      <b/>
      <sz val="8"/>
      <color theme="1"/>
      <name val="Calibri"/>
      <family val="2"/>
      <charset val="222"/>
    </font>
    <font>
      <b/>
      <sz val="8"/>
      <color rgb="FF000000"/>
      <name val="Saraburi"/>
      <charset val="222"/>
    </font>
    <font>
      <b/>
      <sz val="9"/>
      <name val="Saburi"/>
      <charset val="222"/>
    </font>
    <font>
      <sz val="11"/>
      <name val="Saburi"/>
      <charset val="222"/>
    </font>
    <font>
      <b/>
      <sz val="9"/>
      <color theme="1"/>
      <name val="Saburi"/>
      <charset val="222"/>
    </font>
    <font>
      <b/>
      <sz val="8"/>
      <name val="Saburi"/>
      <charset val="222"/>
    </font>
    <font>
      <sz val="8"/>
      <color rgb="FFFF0000"/>
      <name val="Saraburi"/>
      <charset val="222"/>
    </font>
    <font>
      <b/>
      <sz val="8"/>
      <color rgb="FFFF0000"/>
      <name val="Saraburi"/>
      <charset val="222"/>
    </font>
    <font>
      <sz val="8"/>
      <name val="saburi"/>
      <charset val="222"/>
    </font>
    <font>
      <b/>
      <sz val="14"/>
      <color theme="1"/>
      <name val="Saraburi"/>
      <charset val="222"/>
    </font>
    <font>
      <b/>
      <sz val="11"/>
      <name val="Calibri"/>
      <family val="2"/>
    </font>
    <font>
      <sz val="8"/>
      <name val="Sarabury"/>
      <charset val="222"/>
    </font>
    <font>
      <b/>
      <sz val="8"/>
      <name val="Sarabury"/>
      <charset val="22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7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A0A0A0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theme="1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A0A0A0"/>
      </bottom>
      <diagonal/>
    </border>
    <border>
      <left style="thin">
        <color indexed="64"/>
      </left>
      <right style="thin">
        <color theme="0" tint="-0.24994659260841701"/>
      </right>
      <top style="thin">
        <color rgb="FFA0A0A0"/>
      </top>
      <bottom/>
      <diagonal/>
    </border>
    <border>
      <left/>
      <right style="thin">
        <color indexed="64"/>
      </right>
      <top style="thin">
        <color rgb="FFA0A0A0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rgb="FFA0A0A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auto="1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indexed="64"/>
      </right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1"/>
      </right>
      <top style="thin">
        <color theme="0" tint="-0.34998626667073579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0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4" fontId="2" fillId="2" borderId="1" xfId="0" applyNumberFormat="1" applyFont="1" applyFill="1" applyBorder="1" applyAlignment="1" applyProtection="1">
      <alignment horizontal="right" vertical="top" wrapText="1"/>
    </xf>
    <xf numFmtId="3" fontId="2" fillId="2" borderId="1" xfId="0" applyNumberFormat="1" applyFont="1" applyFill="1" applyBorder="1" applyAlignment="1" applyProtection="1">
      <alignment horizontal="right" vertical="top" wrapText="1"/>
    </xf>
    <xf numFmtId="43" fontId="1" fillId="2" borderId="0" xfId="0" applyNumberFormat="1" applyFont="1" applyFill="1" applyBorder="1" applyAlignment="1" applyProtection="1">
      <alignment horizontal="left" vertical="top" wrapText="1"/>
    </xf>
    <xf numFmtId="3" fontId="2" fillId="2" borderId="2" xfId="0" applyNumberFormat="1" applyFont="1" applyFill="1" applyBorder="1" applyAlignment="1" applyProtection="1">
      <alignment horizontal="right" vertical="top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43" fontId="1" fillId="2" borderId="1" xfId="1" applyFont="1" applyFill="1" applyBorder="1" applyAlignment="1" applyProtection="1">
      <alignment horizontal="left" vertical="top" wrapText="1"/>
    </xf>
    <xf numFmtId="10" fontId="1" fillId="2" borderId="1" xfId="2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187" fontId="1" fillId="2" borderId="1" xfId="1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43" fontId="6" fillId="2" borderId="1" xfId="1" applyFont="1" applyFill="1" applyBorder="1" applyAlignment="1" applyProtection="1">
      <alignment horizontal="right" vertical="top" wrapText="1"/>
    </xf>
    <xf numFmtId="187" fontId="1" fillId="2" borderId="0" xfId="1" applyNumberFormat="1" applyFont="1" applyFill="1" applyBorder="1" applyAlignment="1" applyProtection="1">
      <alignment horizontal="left" vertical="top" wrapText="1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187" fontId="1" fillId="2" borderId="5" xfId="0" applyNumberFormat="1" applyFont="1" applyFill="1" applyBorder="1" applyAlignment="1" applyProtection="1">
      <alignment horizontal="left" vertical="top" wrapText="1"/>
    </xf>
    <xf numFmtId="0" fontId="1" fillId="2" borderId="5" xfId="0" applyNumberFormat="1" applyFont="1" applyFill="1" applyBorder="1" applyAlignment="1" applyProtection="1">
      <alignment horizontal="left" vertical="top" wrapText="1"/>
    </xf>
    <xf numFmtId="187" fontId="6" fillId="2" borderId="3" xfId="0" applyNumberFormat="1" applyFont="1" applyFill="1" applyBorder="1" applyAlignment="1" applyProtection="1">
      <alignment horizontal="left" vertical="top" wrapText="1"/>
    </xf>
    <xf numFmtId="0" fontId="0" fillId="4" borderId="0" xfId="0" applyFill="1"/>
    <xf numFmtId="0" fontId="12" fillId="0" borderId="8" xfId="0" applyFont="1" applyBorder="1" applyAlignment="1">
      <alignment vertical="center"/>
    </xf>
    <xf numFmtId="4" fontId="12" fillId="0" borderId="8" xfId="0" applyNumberFormat="1" applyFont="1" applyBorder="1" applyAlignment="1">
      <alignment vertical="center"/>
    </xf>
    <xf numFmtId="187" fontId="13" fillId="0" borderId="8" xfId="1" applyNumberFormat="1" applyFont="1" applyBorder="1"/>
    <xf numFmtId="43" fontId="13" fillId="0" borderId="9" xfId="1" applyFont="1" applyBorder="1"/>
    <xf numFmtId="10" fontId="14" fillId="0" borderId="0" xfId="2" applyNumberFormat="1" applyFont="1" applyBorder="1"/>
    <xf numFmtId="0" fontId="14" fillId="0" borderId="0" xfId="0" applyFont="1"/>
    <xf numFmtId="0" fontId="12" fillId="0" borderId="11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187" fontId="13" fillId="0" borderId="11" xfId="1" applyNumberFormat="1" applyFont="1" applyBorder="1"/>
    <xf numFmtId="43" fontId="13" fillId="0" borderId="12" xfId="1" applyFont="1" applyBorder="1"/>
    <xf numFmtId="4" fontId="12" fillId="0" borderId="16" xfId="0" applyNumberFormat="1" applyFont="1" applyBorder="1" applyAlignment="1">
      <alignment vertical="center"/>
    </xf>
    <xf numFmtId="43" fontId="13" fillId="0" borderId="15" xfId="1" applyFont="1" applyBorder="1"/>
    <xf numFmtId="43" fontId="13" fillId="0" borderId="11" xfId="1" applyFont="1" applyBorder="1"/>
    <xf numFmtId="0" fontId="12" fillId="0" borderId="23" xfId="0" applyFont="1" applyBorder="1" applyAlignment="1">
      <alignment vertical="center"/>
    </xf>
    <xf numFmtId="4" fontId="12" fillId="0" borderId="24" xfId="0" applyNumberFormat="1" applyFont="1" applyBorder="1" applyAlignment="1">
      <alignment vertical="center"/>
    </xf>
    <xf numFmtId="187" fontId="13" fillId="0" borderId="17" xfId="1" applyNumberFormat="1" applyFont="1" applyBorder="1"/>
    <xf numFmtId="0" fontId="14" fillId="0" borderId="12" xfId="0" applyFont="1" applyBorder="1"/>
    <xf numFmtId="0" fontId="18" fillId="0" borderId="11" xfId="0" applyFont="1" applyBorder="1" applyAlignment="1">
      <alignment vertical="center"/>
    </xf>
    <xf numFmtId="4" fontId="18" fillId="0" borderId="16" xfId="0" applyNumberFormat="1" applyFont="1" applyBorder="1" applyAlignment="1">
      <alignment vertical="center"/>
    </xf>
    <xf numFmtId="0" fontId="13" fillId="0" borderId="19" xfId="0" applyFont="1" applyBorder="1"/>
    <xf numFmtId="43" fontId="13" fillId="0" borderId="20" xfId="1" applyFont="1" applyBorder="1"/>
    <xf numFmtId="0" fontId="12" fillId="0" borderId="11" xfId="0" applyFont="1" applyBorder="1"/>
    <xf numFmtId="4" fontId="12" fillId="0" borderId="16" xfId="0" applyNumberFormat="1" applyFont="1" applyBorder="1"/>
    <xf numFmtId="187" fontId="13" fillId="0" borderId="17" xfId="1" applyNumberFormat="1" applyFont="1" applyBorder="1" applyAlignment="1"/>
    <xf numFmtId="43" fontId="13" fillId="0" borderId="12" xfId="1" applyFont="1" applyBorder="1" applyAlignment="1"/>
    <xf numFmtId="43" fontId="13" fillId="0" borderId="22" xfId="1" applyFont="1" applyBorder="1"/>
    <xf numFmtId="2" fontId="16" fillId="0" borderId="14" xfId="1" applyNumberFormat="1" applyFont="1" applyFill="1" applyBorder="1" applyAlignment="1" applyProtection="1">
      <alignment horizontal="right" vertical="center" wrapText="1"/>
    </xf>
    <xf numFmtId="0" fontId="14" fillId="0" borderId="22" xfId="0" applyFont="1" applyBorder="1"/>
    <xf numFmtId="0" fontId="12" fillId="0" borderId="15" xfId="0" applyFont="1" applyBorder="1" applyAlignment="1">
      <alignment vertical="center"/>
    </xf>
    <xf numFmtId="4" fontId="12" fillId="0" borderId="26" xfId="0" applyNumberFormat="1" applyFont="1" applyBorder="1" applyAlignment="1">
      <alignment vertical="center"/>
    </xf>
    <xf numFmtId="187" fontId="13" fillId="0" borderId="27" xfId="1" applyNumberFormat="1" applyFont="1" applyBorder="1"/>
    <xf numFmtId="187" fontId="13" fillId="0" borderId="28" xfId="1" applyNumberFormat="1" applyFont="1" applyBorder="1"/>
    <xf numFmtId="0" fontId="16" fillId="0" borderId="14" xfId="0" applyFont="1" applyFill="1" applyBorder="1" applyAlignment="1">
      <alignment horizontal="left" vertical="center" wrapText="1"/>
    </xf>
    <xf numFmtId="3" fontId="19" fillId="0" borderId="14" xfId="0" applyNumberFormat="1" applyFont="1" applyFill="1" applyBorder="1" applyAlignment="1">
      <alignment vertical="center"/>
    </xf>
    <xf numFmtId="43" fontId="16" fillId="0" borderId="14" xfId="1" applyFont="1" applyFill="1" applyBorder="1" applyAlignment="1" applyProtection="1">
      <alignment horizontal="right" vertical="center" wrapText="1"/>
    </xf>
    <xf numFmtId="43" fontId="19" fillId="0" borderId="14" xfId="1" applyFont="1" applyFill="1" applyBorder="1" applyAlignment="1" applyProtection="1">
      <alignment horizontal="right" vertical="center" wrapText="1"/>
    </xf>
    <xf numFmtId="0" fontId="24" fillId="4" borderId="11" xfId="0" applyFont="1" applyFill="1" applyBorder="1" applyAlignment="1">
      <alignment vertical="center"/>
    </xf>
    <xf numFmtId="10" fontId="25" fillId="2" borderId="25" xfId="2" applyNumberFormat="1" applyFont="1" applyFill="1" applyBorder="1" applyAlignment="1" applyProtection="1">
      <alignment horizontal="center" vertical="center" wrapText="1"/>
    </xf>
    <xf numFmtId="0" fontId="24" fillId="0" borderId="12" xfId="0" applyFont="1" applyBorder="1"/>
    <xf numFmtId="10" fontId="26" fillId="0" borderId="10" xfId="2" applyNumberFormat="1" applyFont="1" applyBorder="1"/>
    <xf numFmtId="10" fontId="26" fillId="0" borderId="13" xfId="2" applyNumberFormat="1" applyFont="1" applyBorder="1"/>
    <xf numFmtId="0" fontId="26" fillId="0" borderId="13" xfId="0" applyFont="1" applyBorder="1"/>
    <xf numFmtId="0" fontId="12" fillId="0" borderId="12" xfId="0" applyFont="1" applyBorder="1" applyAlignment="1">
      <alignment vertical="center"/>
    </xf>
    <xf numFmtId="4" fontId="12" fillId="0" borderId="29" xfId="0" applyNumberFormat="1" applyFont="1" applyBorder="1" applyAlignment="1">
      <alignment vertical="center"/>
    </xf>
    <xf numFmtId="187" fontId="13" fillId="0" borderId="30" xfId="1" applyNumberFormat="1" applyFont="1" applyBorder="1"/>
    <xf numFmtId="43" fontId="0" fillId="0" borderId="0" xfId="0" applyNumberFormat="1"/>
    <xf numFmtId="0" fontId="22" fillId="0" borderId="10" xfId="0" applyFont="1" applyBorder="1"/>
    <xf numFmtId="0" fontId="22" fillId="0" borderId="13" xfId="0" applyFont="1" applyBorder="1"/>
    <xf numFmtId="3" fontId="22" fillId="0" borderId="32" xfId="0" applyNumberFormat="1" applyFont="1" applyBorder="1" applyAlignment="1">
      <alignment vertical="center"/>
    </xf>
    <xf numFmtId="0" fontId="22" fillId="0" borderId="34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2" fillId="0" borderId="12" xfId="0" applyFont="1" applyBorder="1"/>
    <xf numFmtId="0" fontId="22" fillId="0" borderId="22" xfId="0" applyFont="1" applyBorder="1"/>
    <xf numFmtId="4" fontId="17" fillId="0" borderId="14" xfId="0" applyNumberFormat="1" applyFont="1" applyFill="1" applyBorder="1" applyAlignment="1">
      <alignment vertical="center"/>
    </xf>
    <xf numFmtId="189" fontId="19" fillId="0" borderId="14" xfId="1" applyNumberFormat="1" applyFont="1" applyFill="1" applyBorder="1" applyAlignment="1">
      <alignment vertical="center"/>
    </xf>
    <xf numFmtId="2" fontId="17" fillId="0" borderId="14" xfId="1" applyNumberFormat="1" applyFont="1" applyFill="1" applyBorder="1" applyAlignment="1">
      <alignment vertical="center"/>
    </xf>
    <xf numFmtId="188" fontId="16" fillId="0" borderId="14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9" fontId="26" fillId="0" borderId="13" xfId="2" applyFont="1" applyBorder="1" applyAlignment="1">
      <alignment horizontal="center"/>
    </xf>
    <xf numFmtId="10" fontId="25" fillId="2" borderId="35" xfId="2" applyNumberFormat="1" applyFont="1" applyFill="1" applyBorder="1" applyAlignment="1" applyProtection="1">
      <alignment horizontal="center" vertical="center" wrapText="1"/>
    </xf>
    <xf numFmtId="9" fontId="25" fillId="0" borderId="12" xfId="2" applyFont="1" applyFill="1" applyBorder="1" applyAlignment="1" applyProtection="1">
      <alignment horizontal="center" vertical="center" wrapText="1"/>
    </xf>
    <xf numFmtId="0" fontId="16" fillId="0" borderId="36" xfId="0" applyFont="1" applyFill="1" applyBorder="1" applyAlignment="1">
      <alignment horizontal="left" vertical="center" wrapText="1"/>
    </xf>
    <xf numFmtId="4" fontId="17" fillId="0" borderId="36" xfId="0" applyNumberFormat="1" applyFont="1" applyFill="1" applyBorder="1" applyAlignment="1">
      <alignment vertical="center"/>
    </xf>
    <xf numFmtId="187" fontId="13" fillId="0" borderId="21" xfId="1" applyNumberFormat="1" applyFont="1" applyBorder="1"/>
    <xf numFmtId="9" fontId="25" fillId="0" borderId="22" xfId="2" applyFont="1" applyFill="1" applyBorder="1" applyAlignment="1" applyProtection="1">
      <alignment horizontal="center" vertical="center" wrapText="1"/>
    </xf>
    <xf numFmtId="189" fontId="19" fillId="0" borderId="36" xfId="1" applyNumberFormat="1" applyFont="1" applyFill="1" applyBorder="1" applyAlignment="1">
      <alignment vertical="center"/>
    </xf>
    <xf numFmtId="2" fontId="16" fillId="0" borderId="36" xfId="1" applyNumberFormat="1" applyFont="1" applyFill="1" applyBorder="1" applyAlignment="1" applyProtection="1">
      <alignment horizontal="right" vertical="center" wrapText="1"/>
    </xf>
    <xf numFmtId="188" fontId="16" fillId="0" borderId="36" xfId="1" applyNumberFormat="1" applyFont="1" applyFill="1" applyBorder="1" applyAlignment="1" applyProtection="1">
      <alignment horizontal="right" vertical="center" wrapText="1"/>
    </xf>
    <xf numFmtId="187" fontId="13" fillId="0" borderId="15" xfId="1" applyNumberFormat="1" applyFont="1" applyBorder="1"/>
    <xf numFmtId="0" fontId="21" fillId="0" borderId="37" xfId="0" applyFont="1" applyBorder="1"/>
    <xf numFmtId="0" fontId="14" fillId="0" borderId="37" xfId="0" applyFont="1" applyBorder="1"/>
    <xf numFmtId="0" fontId="13" fillId="0" borderId="37" xfId="0" applyFont="1" applyBorder="1" applyAlignment="1"/>
    <xf numFmtId="43" fontId="13" fillId="0" borderId="37" xfId="0" applyNumberFormat="1" applyFont="1" applyBorder="1"/>
    <xf numFmtId="0" fontId="15" fillId="0" borderId="37" xfId="0" applyFont="1" applyFill="1" applyBorder="1" applyAlignment="1"/>
    <xf numFmtId="43" fontId="15" fillId="0" borderId="37" xfId="0" applyNumberFormat="1" applyFont="1" applyFill="1" applyBorder="1"/>
    <xf numFmtId="0" fontId="14" fillId="0" borderId="38" xfId="0" applyFont="1" applyBorder="1"/>
    <xf numFmtId="0" fontId="16" fillId="0" borderId="25" xfId="0" applyFont="1" applyFill="1" applyBorder="1" applyAlignment="1">
      <alignment horizontal="left" vertical="center" wrapText="1"/>
    </xf>
    <xf numFmtId="4" fontId="17" fillId="0" borderId="25" xfId="0" applyNumberFormat="1" applyFont="1" applyFill="1" applyBorder="1" applyAlignment="1">
      <alignment vertical="center"/>
    </xf>
    <xf numFmtId="0" fontId="22" fillId="0" borderId="39" xfId="0" applyFont="1" applyBorder="1"/>
    <xf numFmtId="4" fontId="12" fillId="0" borderId="40" xfId="0" applyNumberFormat="1" applyFont="1" applyBorder="1" applyAlignment="1">
      <alignment vertical="center"/>
    </xf>
    <xf numFmtId="9" fontId="25" fillId="2" borderId="35" xfId="2" applyFont="1" applyFill="1" applyBorder="1" applyAlignment="1" applyProtection="1">
      <alignment horizontal="center" vertical="center" wrapText="1"/>
    </xf>
    <xf numFmtId="187" fontId="28" fillId="0" borderId="15" xfId="1" applyNumberFormat="1" applyFont="1" applyBorder="1"/>
    <xf numFmtId="43" fontId="28" fillId="0" borderId="15" xfId="1" applyFont="1" applyBorder="1"/>
    <xf numFmtId="43" fontId="28" fillId="0" borderId="9" xfId="1" applyFont="1" applyBorder="1"/>
    <xf numFmtId="0" fontId="29" fillId="0" borderId="11" xfId="0" applyFont="1" applyBorder="1" applyAlignment="1">
      <alignment horizontal="center" vertical="center" wrapText="1"/>
    </xf>
    <xf numFmtId="187" fontId="28" fillId="0" borderId="11" xfId="0" applyNumberFormat="1" applyFont="1" applyBorder="1"/>
    <xf numFmtId="0" fontId="29" fillId="0" borderId="11" xfId="0" applyFont="1" applyBorder="1"/>
    <xf numFmtId="0" fontId="30" fillId="0" borderId="11" xfId="0" applyFont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vertical="center"/>
    </xf>
    <xf numFmtId="43" fontId="32" fillId="2" borderId="25" xfId="1" applyFont="1" applyFill="1" applyBorder="1" applyAlignment="1" applyProtection="1">
      <alignment horizontal="right" vertical="center" wrapText="1"/>
    </xf>
    <xf numFmtId="188" fontId="32" fillId="2" borderId="25" xfId="1" applyNumberFormat="1" applyFont="1" applyFill="1" applyBorder="1" applyAlignment="1" applyProtection="1">
      <alignment horizontal="right" vertical="center" wrapText="1"/>
    </xf>
    <xf numFmtId="43" fontId="32" fillId="2" borderId="14" xfId="1" applyFont="1" applyFill="1" applyBorder="1" applyAlignment="1" applyProtection="1">
      <alignment horizontal="right" vertical="center" wrapText="1"/>
    </xf>
    <xf numFmtId="188" fontId="32" fillId="2" borderId="14" xfId="1" applyNumberFormat="1" applyFont="1" applyFill="1" applyBorder="1" applyAlignment="1" applyProtection="1">
      <alignment horizontal="right" vertical="center" wrapText="1"/>
    </xf>
    <xf numFmtId="187" fontId="33" fillId="0" borderId="12" xfId="0" applyNumberFormat="1" applyFont="1" applyBorder="1"/>
    <xf numFmtId="0" fontId="23" fillId="0" borderId="12" xfId="0" applyFont="1" applyBorder="1"/>
    <xf numFmtId="188" fontId="23" fillId="0" borderId="12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/>
    </xf>
    <xf numFmtId="188" fontId="34" fillId="2" borderId="14" xfId="1" applyNumberFormat="1" applyFont="1" applyFill="1" applyBorder="1" applyAlignment="1" applyProtection="1">
      <alignment horizontal="right" vertical="center" wrapText="1"/>
    </xf>
    <xf numFmtId="188" fontId="12" fillId="0" borderId="12" xfId="0" applyNumberFormat="1" applyFont="1" applyBorder="1"/>
    <xf numFmtId="43" fontId="34" fillId="2" borderId="11" xfId="1" applyFont="1" applyFill="1" applyBorder="1" applyAlignment="1" applyProtection="1">
      <alignment horizontal="right" vertical="center" wrapText="1"/>
    </xf>
    <xf numFmtId="0" fontId="12" fillId="0" borderId="12" xfId="0" applyFont="1" applyBorder="1"/>
    <xf numFmtId="43" fontId="13" fillId="0" borderId="11" xfId="1" applyFont="1" applyFill="1" applyBorder="1" applyAlignment="1" applyProtection="1">
      <alignment horizontal="right" vertical="center" wrapText="1"/>
    </xf>
    <xf numFmtId="43" fontId="13" fillId="0" borderId="33" xfId="1" applyFont="1" applyFill="1" applyBorder="1" applyAlignment="1" applyProtection="1">
      <alignment horizontal="right" vertical="center" wrapText="1"/>
    </xf>
    <xf numFmtId="43" fontId="34" fillId="0" borderId="11" xfId="1" applyFont="1" applyFill="1" applyBorder="1" applyAlignment="1" applyProtection="1">
      <alignment horizontal="right" vertical="center" wrapText="1"/>
    </xf>
    <xf numFmtId="43" fontId="13" fillId="0" borderId="13" xfId="1" applyFont="1" applyFill="1" applyBorder="1" applyAlignment="1" applyProtection="1">
      <alignment horizontal="right" vertical="center" wrapText="1"/>
    </xf>
    <xf numFmtId="43" fontId="34" fillId="0" borderId="31" xfId="1" applyFont="1" applyFill="1" applyBorder="1" applyAlignment="1" applyProtection="1">
      <alignment horizontal="right" vertical="center" wrapText="1"/>
    </xf>
    <xf numFmtId="43" fontId="34" fillId="0" borderId="14" xfId="1" applyFont="1" applyFill="1" applyBorder="1" applyAlignment="1" applyProtection="1">
      <alignment horizontal="right" vertical="center" wrapText="1"/>
    </xf>
    <xf numFmtId="187" fontId="13" fillId="0" borderId="16" xfId="1" applyNumberFormat="1" applyFont="1" applyFill="1" applyBorder="1" applyAlignment="1">
      <alignment vertical="center"/>
    </xf>
    <xf numFmtId="3" fontId="13" fillId="0" borderId="16" xfId="0" applyNumberFormat="1" applyFont="1" applyFill="1" applyBorder="1" applyAlignment="1">
      <alignment vertical="center"/>
    </xf>
    <xf numFmtId="3" fontId="13" fillId="0" borderId="11" xfId="0" applyNumberFormat="1" applyFont="1" applyFill="1" applyBorder="1" applyAlignment="1">
      <alignment vertical="center"/>
    </xf>
    <xf numFmtId="0" fontId="35" fillId="4" borderId="7" xfId="0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4" fontId="35" fillId="0" borderId="7" xfId="0" applyNumberFormat="1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0" fontId="36" fillId="4" borderId="0" xfId="0" applyFont="1" applyFill="1" applyAlignment="1">
      <alignment vertical="center"/>
    </xf>
    <xf numFmtId="0" fontId="37" fillId="4" borderId="7" xfId="0" applyFont="1" applyFill="1" applyBorder="1" applyAlignment="1">
      <alignment horizontal="center" vertical="center"/>
    </xf>
    <xf numFmtId="0" fontId="36" fillId="0" borderId="0" xfId="0" applyFont="1" applyFill="1"/>
    <xf numFmtId="0" fontId="35" fillId="4" borderId="7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9" fontId="25" fillId="2" borderId="25" xfId="2" applyFont="1" applyFill="1" applyBorder="1" applyAlignment="1" applyProtection="1">
      <alignment horizontal="center" vertical="center" wrapText="1"/>
    </xf>
    <xf numFmtId="0" fontId="20" fillId="0" borderId="0" xfId="0" applyFont="1"/>
    <xf numFmtId="188" fontId="13" fillId="0" borderId="9" xfId="1" applyNumberFormat="1" applyFont="1" applyBorder="1"/>
    <xf numFmtId="188" fontId="13" fillId="0" borderId="12" xfId="1" applyNumberFormat="1" applyFont="1" applyBorder="1"/>
    <xf numFmtId="188" fontId="13" fillId="0" borderId="0" xfId="1" applyNumberFormat="1" applyFont="1" applyBorder="1"/>
    <xf numFmtId="188" fontId="13" fillId="0" borderId="18" xfId="1" applyNumberFormat="1" applyFont="1" applyBorder="1"/>
    <xf numFmtId="188" fontId="13" fillId="0" borderId="11" xfId="1" applyNumberFormat="1" applyFont="1" applyBorder="1"/>
    <xf numFmtId="188" fontId="13" fillId="0" borderId="20" xfId="1" applyNumberFormat="1" applyFont="1" applyBorder="1"/>
    <xf numFmtId="188" fontId="13" fillId="0" borderId="12" xfId="1" applyNumberFormat="1" applyFont="1" applyBorder="1" applyAlignment="1"/>
    <xf numFmtId="188" fontId="16" fillId="0" borderId="22" xfId="1" applyNumberFormat="1" applyFont="1" applyFill="1" applyBorder="1" applyAlignment="1" applyProtection="1">
      <alignment horizontal="right" vertical="center" wrapText="1"/>
    </xf>
    <xf numFmtId="188" fontId="16" fillId="0" borderId="17" xfId="1" applyNumberFormat="1" applyFont="1" applyFill="1" applyBorder="1" applyAlignment="1" applyProtection="1">
      <alignment horizontal="right" vertical="center" wrapText="1"/>
    </xf>
    <xf numFmtId="43" fontId="20" fillId="0" borderId="43" xfId="1" applyFont="1" applyBorder="1"/>
    <xf numFmtId="3" fontId="13" fillId="0" borderId="21" xfId="0" applyNumberFormat="1" applyFont="1" applyFill="1" applyBorder="1" applyAlignment="1">
      <alignment vertical="center"/>
    </xf>
    <xf numFmtId="0" fontId="34" fillId="0" borderId="45" xfId="0" applyFont="1" applyBorder="1" applyAlignment="1">
      <alignment horizontal="left" vertical="center" wrapText="1"/>
    </xf>
    <xf numFmtId="3" fontId="13" fillId="0" borderId="8" xfId="0" applyNumberFormat="1" applyFont="1" applyFill="1" applyBorder="1" applyAlignment="1">
      <alignment vertical="center"/>
    </xf>
    <xf numFmtId="10" fontId="20" fillId="0" borderId="8" xfId="2" applyNumberFormat="1" applyFont="1" applyBorder="1"/>
    <xf numFmtId="0" fontId="20" fillId="0" borderId="11" xfId="0" applyFont="1" applyBorder="1"/>
    <xf numFmtId="10" fontId="20" fillId="0" borderId="11" xfId="2" applyNumberFormat="1" applyFont="1" applyBorder="1"/>
    <xf numFmtId="4" fontId="13" fillId="0" borderId="22" xfId="0" applyNumberFormat="1" applyFont="1" applyBorder="1" applyAlignment="1">
      <alignment vertical="center"/>
    </xf>
    <xf numFmtId="10" fontId="20" fillId="0" borderId="21" xfId="2" applyNumberFormat="1" applyFont="1" applyBorder="1"/>
    <xf numFmtId="0" fontId="34" fillId="0" borderId="47" xfId="0" applyFont="1" applyBorder="1" applyAlignment="1">
      <alignment horizontal="left" vertical="center" wrapText="1"/>
    </xf>
    <xf numFmtId="4" fontId="13" fillId="0" borderId="8" xfId="0" applyNumberFormat="1" applyFont="1" applyBorder="1" applyAlignment="1">
      <alignment vertical="center"/>
    </xf>
    <xf numFmtId="0" fontId="34" fillId="0" borderId="49" xfId="0" applyFont="1" applyBorder="1" applyAlignment="1">
      <alignment horizontal="left" vertical="center" wrapText="1"/>
    </xf>
    <xf numFmtId="4" fontId="13" fillId="0" borderId="11" xfId="0" applyNumberFormat="1" applyFont="1" applyBorder="1" applyAlignment="1">
      <alignment vertical="center"/>
    </xf>
    <xf numFmtId="10" fontId="25" fillId="2" borderId="50" xfId="2" applyNumberFormat="1" applyFont="1" applyFill="1" applyBorder="1" applyAlignment="1" applyProtection="1">
      <alignment horizontal="center" vertical="center" wrapText="1"/>
    </xf>
    <xf numFmtId="10" fontId="25" fillId="2" borderId="22" xfId="2" applyNumberFormat="1" applyFont="1" applyFill="1" applyBorder="1" applyAlignment="1" applyProtection="1">
      <alignment horizontal="center" vertical="center" wrapText="1"/>
    </xf>
    <xf numFmtId="188" fontId="16" fillId="0" borderId="8" xfId="1" applyNumberFormat="1" applyFont="1" applyFill="1" applyBorder="1" applyAlignment="1" applyProtection="1">
      <alignment horizontal="right" vertical="center" wrapText="1"/>
    </xf>
    <xf numFmtId="188" fontId="16" fillId="0" borderId="11" xfId="1" applyNumberFormat="1" applyFont="1" applyFill="1" applyBorder="1" applyAlignment="1" applyProtection="1">
      <alignment horizontal="right" vertical="center" wrapText="1"/>
    </xf>
    <xf numFmtId="0" fontId="20" fillId="0" borderId="46" xfId="0" applyFont="1" applyBorder="1" applyAlignment="1">
      <alignment horizontal="left" vertical="center"/>
    </xf>
    <xf numFmtId="0" fontId="20" fillId="0" borderId="48" xfId="0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12" fillId="0" borderId="8" xfId="0" applyFont="1" applyBorder="1"/>
    <xf numFmtId="43" fontId="12" fillId="0" borderId="8" xfId="1" applyFont="1" applyBorder="1"/>
    <xf numFmtId="43" fontId="12" fillId="0" borderId="11" xfId="1" applyFont="1" applyBorder="1"/>
    <xf numFmtId="2" fontId="12" fillId="0" borderId="11" xfId="0" applyNumberFormat="1" applyFont="1" applyBorder="1"/>
    <xf numFmtId="0" fontId="12" fillId="0" borderId="21" xfId="0" applyFont="1" applyBorder="1"/>
    <xf numFmtId="43" fontId="12" fillId="0" borderId="21" xfId="1" applyFont="1" applyBorder="1"/>
    <xf numFmtId="0" fontId="20" fillId="0" borderId="9" xfId="0" applyFont="1" applyBorder="1" applyAlignment="1">
      <alignment vertical="center"/>
    </xf>
    <xf numFmtId="4" fontId="20" fillId="0" borderId="9" xfId="0" applyNumberFormat="1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4" fontId="39" fillId="0" borderId="11" xfId="0" applyNumberFormat="1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4" fontId="20" fillId="0" borderId="11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3" fontId="13" fillId="0" borderId="8" xfId="1" applyNumberFormat="1" applyFont="1" applyFill="1" applyBorder="1" applyAlignment="1">
      <alignment vertical="center"/>
    </xf>
    <xf numFmtId="4" fontId="12" fillId="0" borderId="8" xfId="0" applyNumberFormat="1" applyFont="1" applyBorder="1"/>
    <xf numFmtId="3" fontId="12" fillId="0" borderId="11" xfId="1" applyNumberFormat="1" applyFont="1" applyBorder="1"/>
    <xf numFmtId="4" fontId="12" fillId="0" borderId="11" xfId="0" applyNumberFormat="1" applyFont="1" applyBorder="1"/>
    <xf numFmtId="4" fontId="20" fillId="0" borderId="11" xfId="0" applyNumberFormat="1" applyFont="1" applyBorder="1"/>
    <xf numFmtId="9" fontId="26" fillId="0" borderId="11" xfId="2" applyFont="1" applyBorder="1" applyAlignment="1">
      <alignment horizontal="center"/>
    </xf>
    <xf numFmtId="3" fontId="12" fillId="0" borderId="11" xfId="0" applyNumberFormat="1" applyFont="1" applyBorder="1"/>
    <xf numFmtId="3" fontId="12" fillId="0" borderId="21" xfId="0" applyNumberFormat="1" applyFont="1" applyBorder="1"/>
    <xf numFmtId="4" fontId="12" fillId="0" borderId="21" xfId="0" applyNumberFormat="1" applyFont="1" applyBorder="1"/>
    <xf numFmtId="10" fontId="20" fillId="0" borderId="52" xfId="2" applyNumberFormat="1" applyFont="1" applyBorder="1"/>
    <xf numFmtId="4" fontId="20" fillId="0" borderId="53" xfId="0" applyNumberFormat="1" applyFont="1" applyBorder="1"/>
    <xf numFmtId="10" fontId="20" fillId="0" borderId="53" xfId="2" applyNumberFormat="1" applyFont="1" applyBorder="1"/>
    <xf numFmtId="10" fontId="20" fillId="0" borderId="54" xfId="2" applyNumberFormat="1" applyFont="1" applyBorder="1"/>
    <xf numFmtId="3" fontId="13" fillId="0" borderId="55" xfId="1" applyNumberFormat="1" applyFont="1" applyFill="1" applyBorder="1" applyAlignment="1">
      <alignment vertical="center"/>
    </xf>
    <xf numFmtId="4" fontId="12" fillId="0" borderId="55" xfId="0" applyNumberFormat="1" applyFont="1" applyBorder="1"/>
    <xf numFmtId="4" fontId="12" fillId="0" borderId="56" xfId="0" applyNumberFormat="1" applyFont="1" applyBorder="1"/>
    <xf numFmtId="3" fontId="40" fillId="0" borderId="11" xfId="1" applyNumberFormat="1" applyFont="1" applyBorder="1"/>
    <xf numFmtId="4" fontId="40" fillId="0" borderId="11" xfId="0" applyNumberFormat="1" applyFont="1" applyBorder="1"/>
    <xf numFmtId="10" fontId="39" fillId="0" borderId="11" xfId="2" applyNumberFormat="1" applyFont="1" applyBorder="1"/>
    <xf numFmtId="188" fontId="13" fillId="0" borderId="8" xfId="1" applyNumberFormat="1" applyFont="1" applyBorder="1"/>
    <xf numFmtId="43" fontId="13" fillId="0" borderId="8" xfId="1" applyFont="1" applyBorder="1"/>
    <xf numFmtId="9" fontId="26" fillId="0" borderId="8" xfId="2" applyFont="1" applyBorder="1" applyAlignment="1">
      <alignment horizontal="center"/>
    </xf>
    <xf numFmtId="3" fontId="40" fillId="0" borderId="11" xfId="0" applyNumberFormat="1" applyFont="1" applyBorder="1"/>
    <xf numFmtId="0" fontId="20" fillId="0" borderId="9" xfId="0" applyFont="1" applyBorder="1"/>
    <xf numFmtId="0" fontId="20" fillId="0" borderId="22" xfId="0" applyFont="1" applyBorder="1"/>
    <xf numFmtId="0" fontId="39" fillId="0" borderId="11" xfId="0" applyFont="1" applyBorder="1"/>
    <xf numFmtId="0" fontId="20" fillId="0" borderId="57" xfId="0" applyFont="1" applyBorder="1"/>
    <xf numFmtId="0" fontId="20" fillId="0" borderId="58" xfId="0" applyFont="1" applyBorder="1"/>
    <xf numFmtId="0" fontId="20" fillId="0" borderId="59" xfId="0" applyFont="1" applyBorder="1"/>
    <xf numFmtId="0" fontId="20" fillId="0" borderId="43" xfId="0" applyFont="1" applyBorder="1"/>
    <xf numFmtId="0" fontId="20" fillId="0" borderId="60" xfId="0" applyFont="1" applyBorder="1"/>
    <xf numFmtId="0" fontId="20" fillId="0" borderId="61" xfId="0" applyFont="1" applyBorder="1"/>
    <xf numFmtId="43" fontId="20" fillId="0" borderId="58" xfId="1" applyFont="1" applyBorder="1"/>
    <xf numFmtId="43" fontId="20" fillId="0" borderId="61" xfId="1" applyFont="1" applyBorder="1"/>
    <xf numFmtId="3" fontId="12" fillId="0" borderId="62" xfId="0" applyNumberFormat="1" applyFont="1" applyBorder="1"/>
    <xf numFmtId="3" fontId="12" fillId="0" borderId="17" xfId="0" applyNumberFormat="1" applyFont="1" applyBorder="1"/>
    <xf numFmtId="3" fontId="12" fillId="0" borderId="63" xfId="0" applyNumberFormat="1" applyFont="1" applyBorder="1"/>
    <xf numFmtId="3" fontId="12" fillId="0" borderId="9" xfId="0" applyNumberFormat="1" applyFont="1" applyBorder="1" applyAlignment="1">
      <alignment horizontal="right" wrapText="1"/>
    </xf>
    <xf numFmtId="10" fontId="20" fillId="0" borderId="9" xfId="2" applyNumberFormat="1" applyFont="1" applyFill="1" applyBorder="1" applyAlignment="1" applyProtection="1">
      <alignment horizontal="center" wrapText="1"/>
    </xf>
    <xf numFmtId="3" fontId="12" fillId="0" borderId="22" xfId="0" applyNumberFormat="1" applyFont="1" applyBorder="1" applyAlignment="1">
      <alignment horizontal="right" wrapText="1"/>
    </xf>
    <xf numFmtId="10" fontId="20" fillId="0" borderId="22" xfId="2" applyNumberFormat="1" applyFont="1" applyFill="1" applyBorder="1" applyAlignment="1" applyProtection="1">
      <alignment horizontal="center" wrapText="1"/>
    </xf>
    <xf numFmtId="3" fontId="12" fillId="0" borderId="40" xfId="0" applyNumberFormat="1" applyFont="1" applyBorder="1" applyAlignment="1">
      <alignment horizontal="right" wrapText="1"/>
    </xf>
    <xf numFmtId="10" fontId="20" fillId="0" borderId="19" xfId="2" applyNumberFormat="1" applyFont="1" applyFill="1" applyBorder="1" applyAlignment="1" applyProtection="1">
      <alignment horizontal="center" wrapText="1"/>
    </xf>
    <xf numFmtId="0" fontId="0" fillId="0" borderId="19" xfId="0" applyBorder="1"/>
    <xf numFmtId="3" fontId="12" fillId="0" borderId="19" xfId="0" applyNumberFormat="1" applyFont="1" applyBorder="1" applyAlignment="1">
      <alignment horizontal="right" wrapText="1"/>
    </xf>
    <xf numFmtId="10" fontId="20" fillId="0" borderId="17" xfId="2" applyNumberFormat="1" applyFont="1" applyFill="1" applyBorder="1" applyAlignment="1" applyProtection="1">
      <alignment horizontal="center" wrapText="1"/>
    </xf>
    <xf numFmtId="10" fontId="20" fillId="0" borderId="56" xfId="2" applyNumberFormat="1" applyFont="1" applyFill="1" applyBorder="1" applyAlignment="1" applyProtection="1">
      <alignment horizontal="center" wrapText="1"/>
    </xf>
    <xf numFmtId="0" fontId="20" fillId="0" borderId="0" xfId="0" applyFont="1" applyBorder="1"/>
    <xf numFmtId="0" fontId="20" fillId="0" borderId="0" xfId="0" applyFont="1" applyBorder="1" applyAlignment="1">
      <alignment vertical="center"/>
    </xf>
    <xf numFmtId="4" fontId="20" fillId="0" borderId="0" xfId="0" applyNumberFormat="1" applyFont="1" applyBorder="1" applyAlignment="1">
      <alignment vertical="center"/>
    </xf>
    <xf numFmtId="4" fontId="12" fillId="0" borderId="0" xfId="0" applyNumberFormat="1" applyFont="1" applyBorder="1"/>
    <xf numFmtId="10" fontId="20" fillId="0" borderId="0" xfId="2" applyNumberFormat="1" applyFont="1" applyBorder="1"/>
    <xf numFmtId="0" fontId="14" fillId="0" borderId="0" xfId="0" applyFont="1" applyAlignment="1"/>
    <xf numFmtId="0" fontId="0" fillId="0" borderId="0" xfId="0" applyAlignment="1"/>
    <xf numFmtId="0" fontId="9" fillId="0" borderId="6" xfId="0" applyFont="1" applyBorder="1" applyAlignment="1">
      <alignment horizontal="left" vertical="center"/>
    </xf>
    <xf numFmtId="0" fontId="20" fillId="0" borderId="55" xfId="0" applyFont="1" applyBorder="1" applyAlignment="1">
      <alignment horizontal="left" vertical="center"/>
    </xf>
    <xf numFmtId="43" fontId="20" fillId="0" borderId="55" xfId="1" applyFont="1" applyBorder="1" applyAlignment="1">
      <alignment horizontal="left" vertical="center"/>
    </xf>
    <xf numFmtId="187" fontId="13" fillId="4" borderId="55" xfId="1" applyNumberFormat="1" applyFont="1" applyFill="1" applyBorder="1"/>
    <xf numFmtId="10" fontId="20" fillId="0" borderId="55" xfId="2" applyNumberFormat="1" applyFont="1" applyBorder="1"/>
    <xf numFmtId="0" fontId="20" fillId="0" borderId="11" xfId="0" applyFont="1" applyBorder="1" applyAlignment="1">
      <alignment horizontal="left" vertical="center"/>
    </xf>
    <xf numFmtId="43" fontId="20" fillId="0" borderId="11" xfId="1" applyFont="1" applyBorder="1" applyAlignment="1">
      <alignment horizontal="left" vertical="center"/>
    </xf>
    <xf numFmtId="187" fontId="13" fillId="4" borderId="11" xfId="1" applyNumberFormat="1" applyFont="1" applyFill="1" applyBorder="1"/>
    <xf numFmtId="43" fontId="20" fillId="0" borderId="11" xfId="1" applyFont="1" applyFill="1" applyBorder="1" applyAlignment="1">
      <alignment vertical="center"/>
    </xf>
    <xf numFmtId="187" fontId="13" fillId="0" borderId="11" xfId="1" applyNumberFormat="1" applyFont="1" applyFill="1" applyBorder="1"/>
    <xf numFmtId="0" fontId="20" fillId="0" borderId="56" xfId="0" applyFont="1" applyBorder="1" applyAlignment="1">
      <alignment vertical="center"/>
    </xf>
    <xf numFmtId="43" fontId="20" fillId="0" borderId="56" xfId="1" applyFont="1" applyFill="1" applyBorder="1" applyAlignment="1">
      <alignment vertical="center"/>
    </xf>
    <xf numFmtId="187" fontId="13" fillId="0" borderId="56" xfId="1" applyNumberFormat="1" applyFont="1" applyFill="1" applyBorder="1"/>
    <xf numFmtId="10" fontId="20" fillId="0" borderId="56" xfId="2" applyNumberFormat="1" applyFont="1" applyBorder="1"/>
    <xf numFmtId="187" fontId="13" fillId="4" borderId="8" xfId="1" applyNumberFormat="1" applyFont="1" applyFill="1" applyBorder="1"/>
    <xf numFmtId="187" fontId="13" fillId="0" borderId="21" xfId="1" applyNumberFormat="1" applyFont="1" applyFill="1" applyBorder="1"/>
    <xf numFmtId="188" fontId="0" fillId="0" borderId="0" xfId="0" applyNumberFormat="1"/>
    <xf numFmtId="43" fontId="0" fillId="0" borderId="0" xfId="1" applyFont="1"/>
    <xf numFmtId="43" fontId="12" fillId="0" borderId="9" xfId="1" applyFont="1" applyFill="1" applyBorder="1" applyAlignment="1" applyProtection="1">
      <alignment horizontal="right" wrapText="1"/>
    </xf>
    <xf numFmtId="43" fontId="12" fillId="0" borderId="19" xfId="1" applyFont="1" applyFill="1" applyBorder="1" applyAlignment="1" applyProtection="1">
      <alignment horizontal="right" wrapText="1"/>
    </xf>
    <xf numFmtId="43" fontId="12" fillId="0" borderId="22" xfId="1" applyFont="1" applyFill="1" applyBorder="1" applyAlignment="1" applyProtection="1">
      <alignment horizontal="right" wrapText="1"/>
    </xf>
    <xf numFmtId="188" fontId="12" fillId="0" borderId="9" xfId="1" applyNumberFormat="1" applyFont="1" applyFill="1" applyBorder="1" applyAlignment="1" applyProtection="1">
      <alignment horizontal="right" wrapText="1"/>
    </xf>
    <xf numFmtId="188" fontId="12" fillId="0" borderId="19" xfId="1" applyNumberFormat="1" applyFont="1" applyFill="1" applyBorder="1" applyAlignment="1" applyProtection="1">
      <alignment horizontal="right" wrapText="1"/>
    </xf>
    <xf numFmtId="188" fontId="12" fillId="0" borderId="22" xfId="1" applyNumberFormat="1" applyFont="1" applyFill="1" applyBorder="1" applyAlignment="1" applyProtection="1">
      <alignment horizontal="right" wrapText="1"/>
    </xf>
    <xf numFmtId="43" fontId="13" fillId="0" borderId="55" xfId="1" applyFont="1" applyBorder="1"/>
    <xf numFmtId="187" fontId="12" fillId="0" borderId="55" xfId="1" applyNumberFormat="1" applyFont="1" applyFill="1" applyBorder="1"/>
    <xf numFmtId="187" fontId="12" fillId="0" borderId="11" xfId="1" applyNumberFormat="1" applyFont="1" applyFill="1" applyBorder="1"/>
    <xf numFmtId="43" fontId="13" fillId="0" borderId="11" xfId="1" applyFont="1" applyFill="1" applyBorder="1"/>
    <xf numFmtId="187" fontId="13" fillId="0" borderId="11" xfId="0" applyNumberFormat="1" applyFont="1" applyBorder="1"/>
    <xf numFmtId="43" fontId="13" fillId="0" borderId="56" xfId="1" applyFont="1" applyFill="1" applyBorder="1"/>
    <xf numFmtId="187" fontId="13" fillId="0" borderId="56" xfId="0" applyNumberFormat="1" applyFont="1" applyBorder="1"/>
    <xf numFmtId="188" fontId="12" fillId="0" borderId="8" xfId="1" applyNumberFormat="1" applyFont="1" applyFill="1" applyBorder="1"/>
    <xf numFmtId="188" fontId="12" fillId="0" borderId="11" xfId="1" applyNumberFormat="1" applyFont="1" applyFill="1" applyBorder="1"/>
    <xf numFmtId="188" fontId="13" fillId="0" borderId="11" xfId="0" applyNumberFormat="1" applyFont="1" applyBorder="1"/>
    <xf numFmtId="43" fontId="13" fillId="0" borderId="21" xfId="1" applyFont="1" applyFill="1" applyBorder="1"/>
    <xf numFmtId="188" fontId="13" fillId="0" borderId="21" xfId="0" applyNumberFormat="1" applyFont="1" applyBorder="1"/>
    <xf numFmtId="10" fontId="20" fillId="0" borderId="65" xfId="2" applyNumberFormat="1" applyFont="1" applyBorder="1"/>
    <xf numFmtId="0" fontId="41" fillId="0" borderId="19" xfId="0" applyFont="1" applyBorder="1" applyAlignment="1">
      <alignment vertical="center"/>
    </xf>
    <xf numFmtId="43" fontId="20" fillId="0" borderId="19" xfId="1" applyFont="1" applyFill="1" applyBorder="1" applyAlignment="1">
      <alignment vertical="center"/>
    </xf>
    <xf numFmtId="10" fontId="20" fillId="0" borderId="19" xfId="2" applyNumberFormat="1" applyFont="1" applyBorder="1"/>
    <xf numFmtId="0" fontId="20" fillId="0" borderId="19" xfId="0" applyFont="1" applyBorder="1"/>
    <xf numFmtId="43" fontId="20" fillId="0" borderId="19" xfId="1" applyFont="1" applyBorder="1"/>
    <xf numFmtId="187" fontId="12" fillId="0" borderId="19" xfId="1" applyNumberFormat="1" applyFont="1" applyBorder="1"/>
    <xf numFmtId="43" fontId="12" fillId="0" borderId="19" xfId="1" applyFont="1" applyBorder="1"/>
    <xf numFmtId="43" fontId="20" fillId="0" borderId="19" xfId="1" applyFont="1" applyFill="1" applyBorder="1"/>
    <xf numFmtId="0" fontId="20" fillId="0" borderId="66" xfId="0" applyFont="1" applyBorder="1"/>
    <xf numFmtId="0" fontId="20" fillId="0" borderId="67" xfId="0" applyFont="1" applyBorder="1"/>
    <xf numFmtId="0" fontId="20" fillId="0" borderId="68" xfId="0" applyFont="1" applyBorder="1"/>
    <xf numFmtId="187" fontId="13" fillId="0" borderId="65" xfId="1" applyNumberFormat="1" applyFont="1" applyFill="1" applyBorder="1"/>
    <xf numFmtId="43" fontId="13" fillId="0" borderId="65" xfId="1" applyFont="1" applyFill="1" applyBorder="1"/>
    <xf numFmtId="187" fontId="13" fillId="0" borderId="19" xfId="1" applyNumberFormat="1" applyFont="1" applyFill="1" applyBorder="1"/>
    <xf numFmtId="43" fontId="13" fillId="0" borderId="19" xfId="1" applyFont="1" applyFill="1" applyBorder="1"/>
    <xf numFmtId="0" fontId="9" fillId="0" borderId="0" xfId="0" applyFont="1" applyBorder="1" applyAlignment="1">
      <alignment vertical="center"/>
    </xf>
    <xf numFmtId="0" fontId="7" fillId="2" borderId="0" xfId="0" applyNumberFormat="1" applyFont="1" applyFill="1" applyBorder="1" applyAlignment="1" applyProtection="1">
      <alignment horizontal="left" vertical="top" wrapText="1"/>
    </xf>
    <xf numFmtId="187" fontId="42" fillId="4" borderId="69" xfId="1" applyNumberFormat="1" applyFont="1" applyFill="1" applyBorder="1" applyAlignment="1">
      <alignment horizontal="center" vertical="center" wrapText="1"/>
    </xf>
    <xf numFmtId="187" fontId="42" fillId="4" borderId="64" xfId="1" applyNumberFormat="1" applyFont="1" applyFill="1" applyBorder="1" applyAlignment="1">
      <alignment horizontal="center" vertical="center" wrapText="1"/>
    </xf>
    <xf numFmtId="187" fontId="42" fillId="4" borderId="10" xfId="1" applyNumberFormat="1" applyFont="1" applyFill="1" applyBorder="1" applyAlignment="1">
      <alignment horizontal="center" vertical="center" wrapText="1"/>
    </xf>
    <xf numFmtId="187" fontId="42" fillId="4" borderId="29" xfId="1" applyNumberFormat="1" applyFont="1" applyFill="1" applyBorder="1" applyAlignment="1">
      <alignment horizontal="center" vertical="center" wrapText="1"/>
    </xf>
    <xf numFmtId="187" fontId="42" fillId="4" borderId="0" xfId="1" applyNumberFormat="1" applyFont="1" applyFill="1" applyBorder="1" applyAlignment="1">
      <alignment horizontal="center" vertical="center" wrapText="1"/>
    </xf>
    <xf numFmtId="187" fontId="42" fillId="4" borderId="13" xfId="1" applyNumberFormat="1" applyFont="1" applyFill="1" applyBorder="1" applyAlignment="1">
      <alignment horizontal="center" vertical="center" wrapText="1"/>
    </xf>
    <xf numFmtId="187" fontId="42" fillId="4" borderId="51" xfId="1" applyNumberFormat="1" applyFont="1" applyFill="1" applyBorder="1" applyAlignment="1">
      <alignment horizontal="center" vertical="center" wrapText="1"/>
    </xf>
    <xf numFmtId="187" fontId="42" fillId="4" borderId="6" xfId="1" applyNumberFormat="1" applyFont="1" applyFill="1" applyBorder="1" applyAlignment="1">
      <alignment horizontal="center" vertical="center" wrapText="1"/>
    </xf>
    <xf numFmtId="187" fontId="42" fillId="4" borderId="70" xfId="1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43" fillId="0" borderId="69" xfId="0" applyFont="1" applyBorder="1" applyAlignment="1">
      <alignment horizontal="center" vertical="center" wrapText="1"/>
    </xf>
    <xf numFmtId="0" fontId="43" fillId="0" borderId="64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43" fontId="20" fillId="0" borderId="17" xfId="1" applyFont="1" applyFill="1" applyBorder="1" applyAlignment="1">
      <alignment vertical="center"/>
    </xf>
    <xf numFmtId="0" fontId="0" fillId="0" borderId="71" xfId="0" applyBorder="1"/>
    <xf numFmtId="0" fontId="41" fillId="0" borderId="66" xfId="0" applyFont="1" applyBorder="1" applyAlignment="1">
      <alignment vertical="center"/>
    </xf>
    <xf numFmtId="43" fontId="20" fillId="0" borderId="66" xfId="1" applyFont="1" applyFill="1" applyBorder="1" applyAlignment="1">
      <alignment vertical="center"/>
    </xf>
    <xf numFmtId="187" fontId="13" fillId="0" borderId="55" xfId="1" applyNumberFormat="1" applyFont="1" applyBorder="1"/>
    <xf numFmtId="188" fontId="13" fillId="0" borderId="55" xfId="1" applyNumberFormat="1" applyFont="1" applyBorder="1"/>
    <xf numFmtId="9" fontId="26" fillId="0" borderId="72" xfId="2" applyFont="1" applyBorder="1" applyAlignment="1">
      <alignment horizontal="center"/>
    </xf>
    <xf numFmtId="9" fontId="26" fillId="0" borderId="40" xfId="2" applyFont="1" applyBorder="1" applyAlignment="1">
      <alignment horizontal="center"/>
    </xf>
    <xf numFmtId="0" fontId="20" fillId="0" borderId="56" xfId="0" applyFont="1" applyBorder="1" applyAlignment="1">
      <alignment horizontal="left" vertical="center"/>
    </xf>
    <xf numFmtId="43" fontId="20" fillId="0" borderId="56" xfId="1" applyFont="1" applyBorder="1" applyAlignment="1">
      <alignment horizontal="left" vertical="center"/>
    </xf>
    <xf numFmtId="187" fontId="13" fillId="0" borderId="56" xfId="1" applyNumberFormat="1" applyFont="1" applyBorder="1"/>
    <xf numFmtId="188" fontId="13" fillId="0" borderId="56" xfId="1" applyNumberFormat="1" applyFont="1" applyBorder="1"/>
    <xf numFmtId="43" fontId="13" fillId="0" borderId="56" xfId="1" applyFont="1" applyBorder="1"/>
    <xf numFmtId="9" fontId="26" fillId="0" borderId="73" xfId="2" applyFont="1" applyBorder="1" applyAlignment="1">
      <alignment horizontal="center"/>
    </xf>
    <xf numFmtId="187" fontId="13" fillId="0" borderId="23" xfId="1" applyNumberFormat="1" applyFont="1" applyFill="1" applyBorder="1"/>
    <xf numFmtId="188" fontId="13" fillId="0" borderId="23" xfId="1" applyNumberFormat="1" applyFont="1" applyFill="1" applyBorder="1"/>
    <xf numFmtId="187" fontId="13" fillId="0" borderId="22" xfId="1" applyNumberFormat="1" applyFont="1" applyFill="1" applyBorder="1"/>
    <xf numFmtId="188" fontId="13" fillId="0" borderId="22" xfId="1" applyNumberFormat="1" applyFont="1" applyFill="1" applyBorder="1"/>
    <xf numFmtId="10" fontId="26" fillId="0" borderId="11" xfId="2" applyNumberFormat="1" applyFont="1" applyBorder="1" applyAlignment="1">
      <alignment horizontal="center"/>
    </xf>
    <xf numFmtId="188" fontId="13" fillId="0" borderId="15" xfId="1" applyNumberFormat="1" applyFont="1" applyBorder="1"/>
    <xf numFmtId="9" fontId="26" fillId="0" borderId="74" xfId="2" applyFont="1" applyBorder="1" applyAlignment="1">
      <alignment horizontal="center"/>
    </xf>
    <xf numFmtId="10" fontId="0" fillId="0" borderId="0" xfId="2" applyNumberFormat="1" applyFont="1"/>
    <xf numFmtId="43" fontId="13" fillId="0" borderId="21" xfId="1" applyFont="1" applyBorder="1"/>
    <xf numFmtId="10" fontId="26" fillId="0" borderId="21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3" fontId="0" fillId="0" borderId="0" xfId="1" applyNumberFormat="1" applyFont="1"/>
    <xf numFmtId="0" fontId="45" fillId="0" borderId="0" xfId="0" applyFont="1"/>
    <xf numFmtId="0" fontId="13" fillId="0" borderId="4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187" fontId="43" fillId="0" borderId="0" xfId="0" applyNumberFormat="1" applyFont="1"/>
    <xf numFmtId="43" fontId="43" fillId="0" borderId="0" xfId="0" applyNumberFormat="1" applyFont="1"/>
    <xf numFmtId="187" fontId="13" fillId="5" borderId="7" xfId="1" applyNumberFormat="1" applyFont="1" applyFill="1" applyBorder="1"/>
    <xf numFmtId="43" fontId="13" fillId="5" borderId="7" xfId="1" applyFont="1" applyFill="1" applyBorder="1"/>
    <xf numFmtId="187" fontId="45" fillId="6" borderId="7" xfId="0" applyNumberFormat="1" applyFont="1" applyFill="1" applyBorder="1"/>
    <xf numFmtId="43" fontId="45" fillId="6" borderId="7" xfId="0" applyNumberFormat="1" applyFont="1" applyFill="1" applyBorder="1"/>
    <xf numFmtId="187" fontId="45" fillId="7" borderId="7" xfId="0" applyNumberFormat="1" applyFont="1" applyFill="1" applyBorder="1"/>
    <xf numFmtId="43" fontId="45" fillId="7" borderId="7" xfId="0" applyNumberFormat="1" applyFont="1" applyFill="1" applyBorder="1"/>
    <xf numFmtId="187" fontId="45" fillId="8" borderId="7" xfId="0" applyNumberFormat="1" applyFont="1" applyFill="1" applyBorder="1"/>
    <xf numFmtId="43" fontId="12" fillId="0" borderId="8" xfId="1" applyFont="1" applyFill="1" applyBorder="1"/>
    <xf numFmtId="43" fontId="12" fillId="0" borderId="11" xfId="1" applyFont="1" applyFill="1" applyBorder="1"/>
    <xf numFmtId="43" fontId="12" fillId="0" borderId="21" xfId="1" applyFont="1" applyFill="1" applyBorder="1"/>
    <xf numFmtId="187" fontId="45" fillId="9" borderId="7" xfId="0" applyNumberFormat="1" applyFont="1" applyFill="1" applyBorder="1"/>
    <xf numFmtId="187" fontId="12" fillId="0" borderId="42" xfId="1" applyNumberFormat="1" applyFont="1" applyBorder="1" applyAlignment="1">
      <alignment horizontal="right"/>
    </xf>
    <xf numFmtId="188" fontId="12" fillId="0" borderId="42" xfId="1" applyNumberFormat="1" applyFont="1" applyBorder="1" applyAlignment="1">
      <alignment horizontal="right"/>
    </xf>
    <xf numFmtId="187" fontId="12" fillId="0" borderId="16" xfId="1" applyNumberFormat="1" applyFont="1" applyBorder="1" applyAlignment="1">
      <alignment horizontal="right"/>
    </xf>
    <xf numFmtId="188" fontId="12" fillId="0" borderId="16" xfId="1" applyNumberFormat="1" applyFont="1" applyBorder="1" applyAlignment="1">
      <alignment horizontal="right"/>
    </xf>
    <xf numFmtId="187" fontId="12" fillId="0" borderId="24" xfId="1" applyNumberFormat="1" applyFont="1" applyBorder="1" applyAlignment="1">
      <alignment horizontal="right"/>
    </xf>
    <xf numFmtId="188" fontId="12" fillId="0" borderId="24" xfId="1" applyNumberFormat="1" applyFont="1" applyBorder="1" applyAlignment="1">
      <alignment horizontal="right"/>
    </xf>
    <xf numFmtId="187" fontId="12" fillId="0" borderId="51" xfId="1" applyNumberFormat="1" applyFont="1" applyBorder="1" applyAlignment="1">
      <alignment horizontal="right"/>
    </xf>
    <xf numFmtId="188" fontId="12" fillId="0" borderId="51" xfId="1" applyNumberFormat="1" applyFont="1" applyBorder="1" applyAlignment="1">
      <alignment horizontal="right"/>
    </xf>
    <xf numFmtId="3" fontId="12" fillId="10" borderId="0" xfId="0" applyNumberFormat="1" applyFont="1" applyFill="1" applyBorder="1"/>
    <xf numFmtId="4" fontId="12" fillId="10" borderId="0" xfId="0" applyNumberFormat="1" applyFont="1" applyFill="1" applyBorder="1"/>
    <xf numFmtId="3" fontId="12" fillId="6" borderId="0" xfId="0" applyNumberFormat="1" applyFont="1" applyFill="1" applyBorder="1"/>
    <xf numFmtId="188" fontId="13" fillId="0" borderId="21" xfId="1" applyNumberFormat="1" applyFont="1" applyBorder="1"/>
    <xf numFmtId="9" fontId="26" fillId="0" borderId="21" xfId="2" applyFont="1" applyBorder="1" applyAlignment="1">
      <alignment horizontal="center"/>
    </xf>
    <xf numFmtId="4" fontId="20" fillId="0" borderId="21" xfId="0" applyNumberFormat="1" applyFont="1" applyBorder="1" applyAlignment="1">
      <alignment vertical="center"/>
    </xf>
    <xf numFmtId="3" fontId="12" fillId="11" borderId="0" xfId="0" applyNumberFormat="1" applyFont="1" applyFill="1" applyBorder="1"/>
    <xf numFmtId="187" fontId="45" fillId="11" borderId="0" xfId="0" applyNumberFormat="1" applyFont="1" applyFill="1"/>
    <xf numFmtId="43" fontId="45" fillId="11" borderId="0" xfId="0" applyNumberFormat="1" applyFont="1" applyFill="1"/>
    <xf numFmtId="187" fontId="45" fillId="9" borderId="0" xfId="0" applyNumberFormat="1" applyFont="1" applyFill="1"/>
    <xf numFmtId="43" fontId="45" fillId="9" borderId="0" xfId="0" applyNumberFormat="1" applyFont="1" applyFill="1"/>
    <xf numFmtId="187" fontId="45" fillId="10" borderId="0" xfId="0" applyNumberFormat="1" applyFont="1" applyFill="1"/>
    <xf numFmtId="43" fontId="13" fillId="10" borderId="64" xfId="1" applyFont="1" applyFill="1" applyBorder="1"/>
    <xf numFmtId="0" fontId="46" fillId="0" borderId="0" xfId="0" applyFont="1"/>
    <xf numFmtId="0" fontId="47" fillId="0" borderId="0" xfId="0" applyFont="1" applyAlignment="1"/>
    <xf numFmtId="0" fontId="48" fillId="0" borderId="0" xfId="0" applyFont="1"/>
    <xf numFmtId="43" fontId="43" fillId="0" borderId="0" xfId="1" applyFont="1"/>
    <xf numFmtId="0" fontId="47" fillId="0" borderId="0" xfId="0" applyFont="1" applyAlignment="1">
      <alignment horizontal="right"/>
    </xf>
    <xf numFmtId="0" fontId="0" fillId="4" borderId="0" xfId="0" applyFill="1" applyAlignment="1">
      <alignment horizontal="left"/>
    </xf>
    <xf numFmtId="187" fontId="45" fillId="0" borderId="0" xfId="0" applyNumberFormat="1" applyFont="1" applyFill="1" applyBorder="1"/>
    <xf numFmtId="187" fontId="45" fillId="0" borderId="64" xfId="0" applyNumberFormat="1" applyFont="1" applyFill="1" applyBorder="1"/>
    <xf numFmtId="187" fontId="13" fillId="0" borderId="64" xfId="1" applyNumberFormat="1" applyFont="1" applyFill="1" applyBorder="1"/>
    <xf numFmtId="0" fontId="14" fillId="0" borderId="0" xfId="0" applyFont="1" applyFill="1"/>
    <xf numFmtId="43" fontId="13" fillId="0" borderId="0" xfId="1" applyFont="1" applyFill="1" applyBorder="1"/>
    <xf numFmtId="0" fontId="45" fillId="0" borderId="0" xfId="0" applyFont="1" applyFill="1"/>
    <xf numFmtId="43" fontId="45" fillId="0" borderId="0" xfId="0" applyNumberFormat="1" applyFont="1" applyFill="1" applyBorder="1"/>
    <xf numFmtId="3" fontId="12" fillId="0" borderId="0" xfId="0" applyNumberFormat="1" applyFont="1" applyFill="1" applyBorder="1"/>
    <xf numFmtId="4" fontId="12" fillId="0" borderId="0" xfId="0" applyNumberFormat="1" applyFont="1" applyFill="1" applyBorder="1"/>
    <xf numFmtId="10" fontId="20" fillId="0" borderId="0" xfId="2" applyNumberFormat="1" applyFont="1" applyFill="1" applyBorder="1"/>
    <xf numFmtId="0" fontId="27" fillId="2" borderId="0" xfId="0" applyNumberFormat="1" applyFont="1" applyFill="1" applyBorder="1" applyAlignment="1" applyProtection="1">
      <alignment horizontal="left" vertical="top" wrapText="1"/>
    </xf>
    <xf numFmtId="43" fontId="1" fillId="2" borderId="1" xfId="1" applyFont="1" applyFill="1" applyBorder="1" applyAlignment="1" applyProtection="1">
      <alignment horizontal="right" vertical="top" wrapText="1"/>
    </xf>
    <xf numFmtId="0" fontId="44" fillId="0" borderId="57" xfId="0" applyFont="1" applyBorder="1"/>
    <xf numFmtId="0" fontId="44" fillId="0" borderId="59" xfId="0" applyFont="1" applyBorder="1"/>
    <xf numFmtId="0" fontId="44" fillId="0" borderId="60" xfId="0" applyFont="1" applyBorder="1"/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J33" sqref="J33"/>
    </sheetView>
  </sheetViews>
  <sheetFormatPr defaultColWidth="12.140625" defaultRowHeight="15" customHeight="1"/>
  <cols>
    <col min="1" max="1" width="14.28515625" style="1" customWidth="1"/>
    <col min="2" max="2" width="22" style="1" customWidth="1"/>
    <col min="3" max="3" width="11.7109375" style="1" customWidth="1"/>
    <col min="4" max="4" width="10.5703125" style="1" customWidth="1"/>
    <col min="5" max="5" width="20.28515625" style="1" customWidth="1"/>
    <col min="6" max="6" width="11.7109375" style="1" customWidth="1"/>
    <col min="7" max="7" width="11.140625" style="1" customWidth="1"/>
    <col min="8" max="8" width="9" style="1" customWidth="1"/>
    <col min="9" max="9" width="11.28515625" style="1" customWidth="1"/>
    <col min="10" max="10" width="10.42578125" style="1" customWidth="1"/>
    <col min="11" max="11" width="12.140625" style="1"/>
    <col min="12" max="12" width="11.140625" style="1" customWidth="1"/>
    <col min="13" max="13" width="11.28515625" style="1" customWidth="1"/>
    <col min="14" max="14" width="11.85546875" style="1" customWidth="1"/>
    <col min="15" max="15" width="12.5703125" style="1" customWidth="1"/>
    <col min="16" max="16" width="10.7109375" style="1" customWidth="1"/>
    <col min="17" max="16384" width="12.140625" style="1"/>
  </cols>
  <sheetData>
    <row r="1" spans="1:16" ht="44.2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 t="s">
        <v>21</v>
      </c>
      <c r="G1" s="14" t="s">
        <v>18</v>
      </c>
      <c r="H1" s="15" t="s">
        <v>22</v>
      </c>
      <c r="I1" s="15" t="s">
        <v>13</v>
      </c>
      <c r="J1" s="15" t="s">
        <v>23</v>
      </c>
      <c r="K1" s="15" t="s">
        <v>14</v>
      </c>
      <c r="L1" s="15" t="s">
        <v>15</v>
      </c>
      <c r="M1" s="15" t="s">
        <v>17</v>
      </c>
      <c r="N1" s="15" t="s">
        <v>19</v>
      </c>
      <c r="O1" s="14" t="s">
        <v>16</v>
      </c>
      <c r="P1" s="19" t="s">
        <v>20</v>
      </c>
    </row>
    <row r="2" spans="1:16" ht="15.75" customHeight="1">
      <c r="A2" s="2" t="s">
        <v>5</v>
      </c>
      <c r="B2" s="3" t="s">
        <v>6</v>
      </c>
      <c r="C2" s="2" t="s">
        <v>7</v>
      </c>
      <c r="D2" s="4">
        <v>32</v>
      </c>
      <c r="E2" s="2" t="s">
        <v>8</v>
      </c>
      <c r="F2" s="5">
        <v>1698</v>
      </c>
      <c r="G2" s="7">
        <v>3000</v>
      </c>
      <c r="H2" s="7">
        <f>G2-F2</f>
        <v>1302</v>
      </c>
      <c r="I2" s="12">
        <v>2000</v>
      </c>
      <c r="J2" s="9">
        <v>17.12</v>
      </c>
      <c r="K2" s="9">
        <f>I2*J2</f>
        <v>34240</v>
      </c>
      <c r="L2" s="10">
        <f>J2/D2</f>
        <v>0.53500000000000003</v>
      </c>
      <c r="M2" s="17">
        <f>(F2*17.12+K2)/4000</f>
        <v>15.827440000000001</v>
      </c>
      <c r="N2" s="12">
        <f>F2+I2</f>
        <v>3698</v>
      </c>
      <c r="O2" s="22">
        <f>K2/D2</f>
        <v>1070</v>
      </c>
      <c r="P2" s="20">
        <f>N2-G2</f>
        <v>698</v>
      </c>
    </row>
    <row r="3" spans="1:16" ht="15.75" customHeight="1">
      <c r="A3" s="2" t="s">
        <v>10</v>
      </c>
      <c r="B3" s="3" t="s">
        <v>11</v>
      </c>
      <c r="C3" s="2" t="s">
        <v>7</v>
      </c>
      <c r="D3" s="4">
        <v>56</v>
      </c>
      <c r="E3" s="2" t="s">
        <v>9</v>
      </c>
      <c r="F3" s="5">
        <v>38</v>
      </c>
      <c r="G3" s="7"/>
      <c r="H3" s="7"/>
      <c r="I3" s="11"/>
      <c r="J3" s="11"/>
      <c r="K3" s="11"/>
      <c r="L3" s="11"/>
      <c r="M3" s="11"/>
      <c r="N3" s="11"/>
      <c r="O3" s="8"/>
      <c r="P3" s="21"/>
    </row>
    <row r="4" spans="1:16" ht="15.75" customHeight="1">
      <c r="A4" s="2" t="s">
        <v>12</v>
      </c>
      <c r="B4" s="3" t="s">
        <v>11</v>
      </c>
      <c r="C4" s="2" t="s">
        <v>7</v>
      </c>
      <c r="D4" s="4">
        <v>60</v>
      </c>
      <c r="E4" s="2" t="s">
        <v>9</v>
      </c>
      <c r="F4" s="5">
        <v>2826</v>
      </c>
      <c r="G4" s="7">
        <v>28000</v>
      </c>
      <c r="H4" s="7">
        <f>G4-F4</f>
        <v>25174</v>
      </c>
      <c r="I4" s="12">
        <v>30000</v>
      </c>
      <c r="J4" s="399">
        <v>12.3</v>
      </c>
      <c r="K4" s="399">
        <f>I4*J4</f>
        <v>369000</v>
      </c>
      <c r="L4" s="10">
        <f>J4/D4</f>
        <v>0.20500000000000002</v>
      </c>
      <c r="M4" s="17">
        <f>(F4*17.12+K4)/4000</f>
        <v>104.34528</v>
      </c>
      <c r="N4" s="12">
        <f>F4+I4</f>
        <v>32826</v>
      </c>
      <c r="O4" s="22">
        <f>K4/D4</f>
        <v>6150</v>
      </c>
      <c r="P4" s="20">
        <f>N4-G4</f>
        <v>4826</v>
      </c>
    </row>
    <row r="6" spans="1:16" ht="15" customHeight="1">
      <c r="B6" s="296"/>
      <c r="C6" s="296"/>
      <c r="D6" s="296"/>
      <c r="E6" s="296"/>
      <c r="M6" s="6"/>
    </row>
    <row r="7" spans="1:16" ht="15" customHeight="1">
      <c r="A7" s="398" t="s">
        <v>161</v>
      </c>
      <c r="B7" s="398"/>
      <c r="C7" s="398"/>
      <c r="D7" s="398"/>
      <c r="E7" s="398"/>
      <c r="F7" s="398"/>
      <c r="G7" s="398"/>
      <c r="H7" s="398"/>
      <c r="I7" s="398"/>
      <c r="J7" s="398"/>
      <c r="K7" s="398"/>
      <c r="M7" s="18"/>
    </row>
  </sheetData>
  <mergeCells count="2">
    <mergeCell ref="B6:E6"/>
    <mergeCell ref="A7:K7"/>
  </mergeCells>
  <pageMargins left="0.7" right="0.7" top="0.75" bottom="0.75" header="0.3" footer="0.3"/>
  <pageSetup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358B-FF8B-4FF8-AE0B-DF135053787B}">
  <dimension ref="A1:V98"/>
  <sheetViews>
    <sheetView tabSelected="1" topLeftCell="A13" workbookViewId="0">
      <selection activeCell="I75" sqref="I75"/>
    </sheetView>
  </sheetViews>
  <sheetFormatPr defaultRowHeight="15"/>
  <cols>
    <col min="1" max="1" width="10.7109375" customWidth="1"/>
    <col min="2" max="2" width="32.42578125" customWidth="1"/>
    <col min="3" max="3" width="10" customWidth="1"/>
    <col min="4" max="4" width="11.5703125" bestFit="1" customWidth="1"/>
    <col min="5" max="5" width="9.42578125" customWidth="1"/>
    <col min="6" max="6" width="14.28515625" bestFit="1" customWidth="1"/>
    <col min="7" max="7" width="7.42578125" bestFit="1" customWidth="1"/>
    <col min="8" max="8" width="5.42578125" customWidth="1"/>
    <col min="9" max="9" width="11.5703125" bestFit="1" customWidth="1"/>
    <col min="10" max="10" width="8.140625" customWidth="1"/>
    <col min="11" max="11" width="14.28515625" bestFit="1" customWidth="1"/>
    <col min="12" max="12" width="9.140625" customWidth="1"/>
    <col min="13" max="13" width="5.42578125" customWidth="1"/>
    <col min="14" max="14" width="11.5703125" bestFit="1" customWidth="1"/>
    <col min="15" max="15" width="9.140625" customWidth="1"/>
    <col min="16" max="16" width="14.28515625" bestFit="1" customWidth="1"/>
    <col min="17" max="17" width="8.5703125" customWidth="1"/>
    <col min="18" max="18" width="5.85546875" customWidth="1"/>
    <col min="19" max="19" width="12.7109375" bestFit="1" customWidth="1"/>
    <col min="20" max="20" width="16.5703125" customWidth="1"/>
  </cols>
  <sheetData>
    <row r="1" spans="1:18" s="23" customFormat="1" ht="27">
      <c r="A1" s="387"/>
      <c r="B1" s="243" t="s">
        <v>130</v>
      </c>
      <c r="C1" s="243"/>
      <c r="D1" s="243"/>
      <c r="E1" s="243"/>
      <c r="F1" s="243"/>
      <c r="G1"/>
      <c r="H1"/>
      <c r="I1" s="308">
        <v>68</v>
      </c>
      <c r="J1" s="308"/>
      <c r="K1" s="308"/>
      <c r="L1" s="308"/>
      <c r="M1"/>
      <c r="N1" s="308">
        <v>69</v>
      </c>
      <c r="O1" s="308"/>
      <c r="P1" s="308"/>
      <c r="Q1" s="308"/>
      <c r="R1"/>
    </row>
    <row r="2" spans="1:18" s="23" customFormat="1" ht="30" customHeight="1">
      <c r="A2" s="136" t="s">
        <v>0</v>
      </c>
      <c r="B2" s="137" t="s">
        <v>24</v>
      </c>
      <c r="C2" s="138" t="s">
        <v>25</v>
      </c>
      <c r="D2" s="139" t="s">
        <v>157</v>
      </c>
      <c r="E2" s="139" t="s">
        <v>133</v>
      </c>
      <c r="F2" s="139" t="s">
        <v>26</v>
      </c>
      <c r="G2" s="143" t="s">
        <v>58</v>
      </c>
      <c r="H2" s="140"/>
      <c r="I2" s="139" t="s">
        <v>158</v>
      </c>
      <c r="J2" s="139" t="s">
        <v>132</v>
      </c>
      <c r="K2" s="141" t="s">
        <v>26</v>
      </c>
      <c r="L2" s="144" t="s">
        <v>58</v>
      </c>
      <c r="M2" s="142"/>
      <c r="N2" s="139" t="s">
        <v>159</v>
      </c>
      <c r="O2" s="139" t="s">
        <v>131</v>
      </c>
      <c r="P2" s="141" t="s">
        <v>26</v>
      </c>
      <c r="Q2" s="144" t="s">
        <v>58</v>
      </c>
    </row>
    <row r="3" spans="1:18">
      <c r="A3" s="70" t="s">
        <v>111</v>
      </c>
      <c r="B3" s="24" t="s">
        <v>27</v>
      </c>
      <c r="C3" s="25">
        <v>105</v>
      </c>
      <c r="D3" s="26">
        <v>3000</v>
      </c>
      <c r="E3" s="147">
        <v>34.24</v>
      </c>
      <c r="F3" s="27">
        <v>102720</v>
      </c>
      <c r="G3" s="63">
        <f>E3/C3</f>
        <v>0.3260952380952381</v>
      </c>
      <c r="H3" s="28"/>
      <c r="I3" s="26">
        <v>0</v>
      </c>
      <c r="J3" s="27">
        <v>0</v>
      </c>
      <c r="K3" s="27">
        <v>0</v>
      </c>
      <c r="L3" s="145">
        <f t="shared" ref="L3:L5" si="0">J3/C3</f>
        <v>0</v>
      </c>
      <c r="M3" s="81"/>
      <c r="N3" s="105">
        <v>0</v>
      </c>
      <c r="O3" s="106">
        <v>0</v>
      </c>
      <c r="P3" s="107">
        <v>0</v>
      </c>
      <c r="Q3" s="104">
        <f>O3/C3</f>
        <v>0</v>
      </c>
    </row>
    <row r="4" spans="1:18">
      <c r="A4" s="71" t="s">
        <v>106</v>
      </c>
      <c r="B4" s="30" t="s">
        <v>29</v>
      </c>
      <c r="C4" s="31">
        <v>110</v>
      </c>
      <c r="D4" s="32">
        <v>3000</v>
      </c>
      <c r="E4" s="148">
        <v>38.520000000000003</v>
      </c>
      <c r="F4" s="33">
        <v>115560</v>
      </c>
      <c r="G4" s="64">
        <f>E4/C4</f>
        <v>0.35018181818181821</v>
      </c>
      <c r="H4" s="28"/>
      <c r="I4" s="32">
        <v>0</v>
      </c>
      <c r="J4" s="33">
        <v>0</v>
      </c>
      <c r="K4" s="33">
        <v>0</v>
      </c>
      <c r="L4" s="145">
        <f t="shared" si="0"/>
        <v>0</v>
      </c>
      <c r="N4" s="39">
        <v>1500</v>
      </c>
      <c r="O4" s="36">
        <v>53.5</v>
      </c>
      <c r="P4" s="33">
        <f>N4*O4</f>
        <v>80250</v>
      </c>
      <c r="Q4" s="83">
        <f>O4/C4</f>
        <v>0.48636363636363639</v>
      </c>
    </row>
    <row r="5" spans="1:18">
      <c r="A5" s="71" t="s">
        <v>107</v>
      </c>
      <c r="B5" s="30" t="s">
        <v>57</v>
      </c>
      <c r="C5" s="31">
        <v>120</v>
      </c>
      <c r="D5" s="32">
        <v>0</v>
      </c>
      <c r="E5" s="149">
        <v>0</v>
      </c>
      <c r="F5" s="33">
        <v>0</v>
      </c>
      <c r="G5" s="64"/>
      <c r="H5" s="28"/>
      <c r="I5" s="32">
        <v>0</v>
      </c>
      <c r="J5" s="35">
        <v>0</v>
      </c>
      <c r="K5" s="33">
        <v>0</v>
      </c>
      <c r="L5" s="145">
        <f t="shared" si="0"/>
        <v>0</v>
      </c>
      <c r="N5" s="39">
        <v>1500</v>
      </c>
      <c r="O5" s="36">
        <v>53.5</v>
      </c>
      <c r="P5" s="33">
        <f>N5*O5</f>
        <v>80250</v>
      </c>
      <c r="Q5" s="83">
        <f>O5/C5</f>
        <v>0.44583333333333336</v>
      </c>
    </row>
    <row r="6" spans="1:18">
      <c r="A6" s="71"/>
      <c r="B6" s="30"/>
      <c r="C6" s="34"/>
      <c r="D6" s="39"/>
      <c r="E6" s="150"/>
      <c r="F6" s="36"/>
      <c r="G6" s="65"/>
      <c r="H6" s="29"/>
      <c r="I6" s="111"/>
      <c r="J6" s="111"/>
      <c r="K6" s="112"/>
      <c r="L6" s="113"/>
      <c r="N6" s="108"/>
      <c r="O6" s="121"/>
      <c r="P6" s="122"/>
      <c r="Q6" s="60"/>
    </row>
    <row r="7" spans="1:18" ht="15" customHeight="1">
      <c r="A7" s="71" t="s">
        <v>109</v>
      </c>
      <c r="B7" s="30" t="s">
        <v>28</v>
      </c>
      <c r="C7" s="34">
        <v>120</v>
      </c>
      <c r="D7" s="39">
        <v>6500</v>
      </c>
      <c r="E7" s="151">
        <v>27.29</v>
      </c>
      <c r="F7" s="36">
        <v>177352.5</v>
      </c>
      <c r="G7" s="64">
        <f>E7/C7</f>
        <v>0.22741666666666666</v>
      </c>
      <c r="H7" s="28"/>
      <c r="I7" s="39">
        <v>5000</v>
      </c>
      <c r="J7" s="114">
        <v>31.03</v>
      </c>
      <c r="K7" s="115">
        <f>I7*J7</f>
        <v>155150</v>
      </c>
      <c r="L7" s="61">
        <f>J7/C7</f>
        <v>0.25858333333333333</v>
      </c>
      <c r="N7" s="105">
        <v>0</v>
      </c>
      <c r="O7" s="33">
        <v>0</v>
      </c>
      <c r="P7" s="33">
        <v>0</v>
      </c>
      <c r="Q7" s="104">
        <f>O7/C7</f>
        <v>0</v>
      </c>
    </row>
    <row r="8" spans="1:18" ht="15" customHeight="1">
      <c r="A8" s="71" t="s">
        <v>110</v>
      </c>
      <c r="B8" s="30" t="s">
        <v>30</v>
      </c>
      <c r="C8" s="34">
        <v>120</v>
      </c>
      <c r="D8" s="39">
        <v>5000</v>
      </c>
      <c r="E8" s="151">
        <v>30.5</v>
      </c>
      <c r="F8" s="36">
        <v>152475</v>
      </c>
      <c r="G8" s="64">
        <f>E8/C8</f>
        <v>0.25416666666666665</v>
      </c>
      <c r="H8" s="28"/>
      <c r="I8" s="39">
        <v>5000</v>
      </c>
      <c r="J8" s="116">
        <v>31.03</v>
      </c>
      <c r="K8" s="117">
        <f t="shared" ref="K8" si="1">I8*J8</f>
        <v>155150</v>
      </c>
      <c r="L8" s="61">
        <f t="shared" ref="L8:L38" si="2">J8/C8</f>
        <v>0.25858333333333333</v>
      </c>
      <c r="N8" s="105">
        <v>0</v>
      </c>
      <c r="O8" s="33">
        <v>0</v>
      </c>
      <c r="P8" s="33">
        <v>0</v>
      </c>
      <c r="Q8" s="104">
        <f>O8/C8</f>
        <v>0</v>
      </c>
    </row>
    <row r="9" spans="1:18" ht="15" customHeight="1">
      <c r="A9" s="71" t="s">
        <v>102</v>
      </c>
      <c r="B9" s="30" t="s">
        <v>32</v>
      </c>
      <c r="C9" s="34">
        <v>120</v>
      </c>
      <c r="D9" s="39">
        <v>5000</v>
      </c>
      <c r="E9" s="151">
        <v>30.5</v>
      </c>
      <c r="F9" s="36">
        <v>152475</v>
      </c>
      <c r="G9" s="64">
        <f>E9/C9</f>
        <v>0.25416666666666665</v>
      </c>
      <c r="H9" s="28"/>
      <c r="I9" s="32">
        <v>0</v>
      </c>
      <c r="J9" s="35">
        <v>0</v>
      </c>
      <c r="K9" s="33">
        <v>0</v>
      </c>
      <c r="L9" s="61">
        <f t="shared" si="2"/>
        <v>0</v>
      </c>
      <c r="N9" s="39">
        <v>4000</v>
      </c>
      <c r="O9" s="36">
        <v>35.31</v>
      </c>
      <c r="P9" s="123">
        <f>N9*O9</f>
        <v>141240</v>
      </c>
      <c r="Q9" s="83">
        <f>O9/C9</f>
        <v>0.29425000000000001</v>
      </c>
    </row>
    <row r="10" spans="1:18" ht="15" customHeight="1">
      <c r="A10" s="71"/>
      <c r="B10" s="30"/>
      <c r="C10" s="34"/>
      <c r="D10" s="39"/>
      <c r="E10" s="150"/>
      <c r="F10" s="36"/>
      <c r="G10" s="65"/>
      <c r="H10" s="29"/>
      <c r="I10" s="118"/>
      <c r="J10" s="119"/>
      <c r="K10" s="120"/>
      <c r="L10" s="61"/>
      <c r="N10" s="109"/>
      <c r="O10" s="45"/>
      <c r="P10" s="124"/>
      <c r="Q10" s="62"/>
    </row>
    <row r="11" spans="1:18" ht="15" customHeight="1">
      <c r="A11" s="71" t="s">
        <v>103</v>
      </c>
      <c r="B11" s="30" t="s">
        <v>34</v>
      </c>
      <c r="C11" s="34">
        <v>125</v>
      </c>
      <c r="D11" s="39">
        <v>10000</v>
      </c>
      <c r="E11" s="151">
        <v>28.36</v>
      </c>
      <c r="F11" s="36">
        <v>283550</v>
      </c>
      <c r="G11" s="64">
        <f>E11/C11</f>
        <v>0.22688</v>
      </c>
      <c r="H11" s="28"/>
      <c r="I11" s="39">
        <v>6500</v>
      </c>
      <c r="J11" s="116">
        <v>35.840000000000003</v>
      </c>
      <c r="K11" s="117">
        <f>I11*J11</f>
        <v>232960.00000000003</v>
      </c>
      <c r="L11" s="61">
        <f t="shared" si="2"/>
        <v>0.28672000000000003</v>
      </c>
      <c r="N11" s="39">
        <v>5000</v>
      </c>
      <c r="O11" s="125">
        <v>37.979999999999997</v>
      </c>
      <c r="P11" s="123">
        <f>N11*O11</f>
        <v>189899.99999999997</v>
      </c>
      <c r="Q11" s="83">
        <f>O11/C11</f>
        <v>0.30384</v>
      </c>
    </row>
    <row r="12" spans="1:18" ht="15" customHeight="1">
      <c r="A12" s="71" t="s">
        <v>104</v>
      </c>
      <c r="B12" s="30" t="s">
        <v>31</v>
      </c>
      <c r="C12" s="34">
        <v>125</v>
      </c>
      <c r="D12" s="39">
        <v>10000</v>
      </c>
      <c r="E12" s="151">
        <v>28.36</v>
      </c>
      <c r="F12" s="36">
        <v>283550</v>
      </c>
      <c r="G12" s="64">
        <f>E12/C12</f>
        <v>0.22688</v>
      </c>
      <c r="H12" s="28"/>
      <c r="I12" s="39">
        <v>6500</v>
      </c>
      <c r="J12" s="116">
        <v>35.840000000000003</v>
      </c>
      <c r="K12" s="117">
        <f t="shared" ref="K12:K13" si="3">I12*J12</f>
        <v>232960.00000000003</v>
      </c>
      <c r="L12" s="61">
        <f t="shared" si="2"/>
        <v>0.28672000000000003</v>
      </c>
      <c r="N12" s="39">
        <v>5000</v>
      </c>
      <c r="O12" s="125">
        <v>37.979999999999997</v>
      </c>
      <c r="P12" s="123">
        <f t="shared" ref="P12:P13" si="4">N12*O12</f>
        <v>189899.99999999997</v>
      </c>
      <c r="Q12" s="83">
        <f>O12/C12</f>
        <v>0.30384</v>
      </c>
    </row>
    <row r="13" spans="1:18" ht="15" customHeight="1">
      <c r="A13" s="71" t="s">
        <v>105</v>
      </c>
      <c r="B13" s="30" t="s">
        <v>33</v>
      </c>
      <c r="C13" s="34">
        <v>125</v>
      </c>
      <c r="D13" s="39">
        <v>10000</v>
      </c>
      <c r="E13" s="151">
        <v>28.36</v>
      </c>
      <c r="F13" s="36">
        <v>283550</v>
      </c>
      <c r="G13" s="64">
        <f>E13/C13</f>
        <v>0.22688</v>
      </c>
      <c r="H13" s="28"/>
      <c r="I13" s="39">
        <v>12000</v>
      </c>
      <c r="J13" s="116">
        <v>27.92</v>
      </c>
      <c r="K13" s="117">
        <f t="shared" si="3"/>
        <v>335040</v>
      </c>
      <c r="L13" s="61">
        <f t="shared" si="2"/>
        <v>0.22336</v>
      </c>
      <c r="N13" s="39">
        <v>4000</v>
      </c>
      <c r="O13" s="125">
        <v>41.19</v>
      </c>
      <c r="P13" s="123">
        <f t="shared" si="4"/>
        <v>164760</v>
      </c>
      <c r="Q13" s="83">
        <f>O13/C13</f>
        <v>0.32951999999999998</v>
      </c>
    </row>
    <row r="14" spans="1:18" ht="15" customHeight="1">
      <c r="A14" s="71"/>
      <c r="B14" s="41"/>
      <c r="C14" s="42"/>
      <c r="D14" s="43"/>
      <c r="E14" s="152"/>
      <c r="F14" s="44"/>
      <c r="G14" s="65"/>
      <c r="H14" s="29"/>
      <c r="I14" s="40"/>
      <c r="J14" s="40"/>
      <c r="K14" s="40"/>
      <c r="L14" s="62"/>
      <c r="N14" s="110"/>
      <c r="O14" s="45"/>
      <c r="P14" s="126"/>
      <c r="Q14" s="62"/>
    </row>
    <row r="15" spans="1:18" ht="15" customHeight="1">
      <c r="A15" s="72" t="s">
        <v>61</v>
      </c>
      <c r="B15" s="45" t="s">
        <v>35</v>
      </c>
      <c r="C15" s="46">
        <v>40</v>
      </c>
      <c r="D15" s="47">
        <v>30000</v>
      </c>
      <c r="E15" s="153">
        <v>11.77</v>
      </c>
      <c r="F15" s="48">
        <v>353100</v>
      </c>
      <c r="G15" s="64">
        <f t="shared" ref="G15:G26" si="5">E15/C15</f>
        <v>0.29425000000000001</v>
      </c>
      <c r="H15" s="28"/>
      <c r="I15" s="47">
        <v>35000</v>
      </c>
      <c r="J15" s="59">
        <v>11.5</v>
      </c>
      <c r="K15" s="59">
        <f t="shared" ref="K15:K21" si="6">I15*J15</f>
        <v>402500</v>
      </c>
      <c r="L15" s="61">
        <f t="shared" si="2"/>
        <v>0.28749999999999998</v>
      </c>
      <c r="N15" s="47">
        <v>35000</v>
      </c>
      <c r="O15" s="127">
        <v>11.39</v>
      </c>
      <c r="P15" s="128">
        <f t="shared" ref="P15:P20" si="7">N15*O15</f>
        <v>398650</v>
      </c>
      <c r="Q15" s="83">
        <f t="shared" ref="Q15:Q21" si="8">O15/C15</f>
        <v>0.28475</v>
      </c>
    </row>
    <row r="16" spans="1:18" ht="15" customHeight="1">
      <c r="A16" s="73" t="s">
        <v>62</v>
      </c>
      <c r="B16" s="30" t="s">
        <v>36</v>
      </c>
      <c r="C16" s="46">
        <v>48</v>
      </c>
      <c r="D16" s="39">
        <v>8000</v>
      </c>
      <c r="E16" s="148">
        <v>18.73</v>
      </c>
      <c r="F16" s="33">
        <v>149800</v>
      </c>
      <c r="G16" s="64">
        <f t="shared" si="5"/>
        <v>0.39020833333333332</v>
      </c>
      <c r="H16" s="28"/>
      <c r="I16" s="57">
        <v>10000</v>
      </c>
      <c r="J16" s="58">
        <v>17.649999999999999</v>
      </c>
      <c r="K16" s="58">
        <f t="shared" si="6"/>
        <v>176500</v>
      </c>
      <c r="L16" s="61">
        <f t="shared" si="2"/>
        <v>0.3677083333333333</v>
      </c>
      <c r="N16" s="47">
        <v>20000</v>
      </c>
      <c r="O16" s="129">
        <v>16.05</v>
      </c>
      <c r="P16" s="128">
        <f t="shared" si="7"/>
        <v>321000</v>
      </c>
      <c r="Q16" s="83">
        <f t="shared" si="8"/>
        <v>0.33437500000000003</v>
      </c>
    </row>
    <row r="17" spans="1:17" ht="15" customHeight="1">
      <c r="A17" s="73" t="s">
        <v>63</v>
      </c>
      <c r="B17" s="30" t="s">
        <v>37</v>
      </c>
      <c r="C17" s="34">
        <v>62</v>
      </c>
      <c r="D17" s="39">
        <v>5000</v>
      </c>
      <c r="E17" s="148">
        <v>34.78</v>
      </c>
      <c r="F17" s="33">
        <v>173875</v>
      </c>
      <c r="G17" s="64">
        <f t="shared" si="5"/>
        <v>0.56096774193548393</v>
      </c>
      <c r="H17" s="28"/>
      <c r="I17" s="57">
        <v>10000</v>
      </c>
      <c r="J17" s="58">
        <v>26.75</v>
      </c>
      <c r="K17" s="58">
        <f t="shared" si="6"/>
        <v>267500</v>
      </c>
      <c r="L17" s="61">
        <f t="shared" si="2"/>
        <v>0.43145161290322581</v>
      </c>
      <c r="N17" s="133">
        <v>8000</v>
      </c>
      <c r="O17" s="129">
        <v>27.82</v>
      </c>
      <c r="P17" s="130">
        <f t="shared" si="7"/>
        <v>222560</v>
      </c>
      <c r="Q17" s="83">
        <f t="shared" si="8"/>
        <v>0.44870967741935486</v>
      </c>
    </row>
    <row r="18" spans="1:17" ht="15" customHeight="1">
      <c r="A18" s="73" t="s">
        <v>64</v>
      </c>
      <c r="B18" s="30" t="s">
        <v>38</v>
      </c>
      <c r="C18" s="34">
        <v>58</v>
      </c>
      <c r="D18" s="39">
        <v>5000</v>
      </c>
      <c r="E18" s="148">
        <v>31.24</v>
      </c>
      <c r="F18" s="33">
        <v>156220</v>
      </c>
      <c r="G18" s="64">
        <f t="shared" si="5"/>
        <v>0.5386206896551724</v>
      </c>
      <c r="H18" s="28"/>
      <c r="I18" s="57">
        <v>10000</v>
      </c>
      <c r="J18" s="58">
        <v>24.61</v>
      </c>
      <c r="K18" s="58">
        <f t="shared" si="6"/>
        <v>246100</v>
      </c>
      <c r="L18" s="61">
        <f t="shared" si="2"/>
        <v>0.42431034482758617</v>
      </c>
      <c r="N18" s="133">
        <v>7000</v>
      </c>
      <c r="O18" s="129">
        <v>26.75</v>
      </c>
      <c r="P18" s="130">
        <f t="shared" si="7"/>
        <v>187250</v>
      </c>
      <c r="Q18" s="83">
        <f t="shared" si="8"/>
        <v>0.46120689655172414</v>
      </c>
    </row>
    <row r="19" spans="1:17" ht="15" customHeight="1">
      <c r="A19" s="73" t="s">
        <v>65</v>
      </c>
      <c r="B19" s="30" t="s">
        <v>39</v>
      </c>
      <c r="C19" s="34">
        <v>60</v>
      </c>
      <c r="D19" s="39">
        <v>5000</v>
      </c>
      <c r="E19" s="148">
        <v>34.78</v>
      </c>
      <c r="F19" s="33">
        <v>173875</v>
      </c>
      <c r="G19" s="64">
        <f t="shared" si="5"/>
        <v>0.57966666666666666</v>
      </c>
      <c r="H19" s="28"/>
      <c r="I19" s="39">
        <v>5000</v>
      </c>
      <c r="J19" s="58">
        <v>34.770000000000003</v>
      </c>
      <c r="K19" s="58">
        <f t="shared" si="6"/>
        <v>173850.00000000003</v>
      </c>
      <c r="L19" s="61">
        <f t="shared" si="2"/>
        <v>0.57950000000000002</v>
      </c>
      <c r="N19" s="133">
        <v>7000</v>
      </c>
      <c r="O19" s="129">
        <v>28.89</v>
      </c>
      <c r="P19" s="130">
        <f t="shared" si="7"/>
        <v>202230</v>
      </c>
      <c r="Q19" s="83">
        <f t="shared" si="8"/>
        <v>0.48149999999999998</v>
      </c>
    </row>
    <row r="20" spans="1:17" ht="15" customHeight="1">
      <c r="A20" s="71" t="s">
        <v>5</v>
      </c>
      <c r="B20" s="66" t="s">
        <v>6</v>
      </c>
      <c r="C20" s="67">
        <v>32</v>
      </c>
      <c r="D20" s="68">
        <v>0</v>
      </c>
      <c r="E20" s="148">
        <v>0</v>
      </c>
      <c r="F20" s="33">
        <v>0</v>
      </c>
      <c r="G20" s="82">
        <v>0</v>
      </c>
      <c r="H20" s="28"/>
      <c r="I20" s="32">
        <v>0</v>
      </c>
      <c r="J20" s="35">
        <v>0</v>
      </c>
      <c r="K20" s="33">
        <v>0</v>
      </c>
      <c r="L20" s="145">
        <f t="shared" si="2"/>
        <v>0</v>
      </c>
      <c r="N20" s="134">
        <v>2000</v>
      </c>
      <c r="O20" s="129">
        <v>17.12</v>
      </c>
      <c r="P20" s="131">
        <f t="shared" si="7"/>
        <v>34240</v>
      </c>
      <c r="Q20" s="83">
        <f t="shared" si="8"/>
        <v>0.53500000000000003</v>
      </c>
    </row>
    <row r="21" spans="1:17" ht="15" customHeight="1">
      <c r="A21" s="71" t="s">
        <v>112</v>
      </c>
      <c r="B21" s="37" t="s">
        <v>50</v>
      </c>
      <c r="C21" s="38">
        <v>48</v>
      </c>
      <c r="D21" s="55">
        <v>5500</v>
      </c>
      <c r="E21" s="148">
        <v>25.15</v>
      </c>
      <c r="F21" s="33">
        <v>111815</v>
      </c>
      <c r="G21" s="64">
        <f t="shared" ref="G21" si="9">E21/C21</f>
        <v>0.5239583333333333</v>
      </c>
      <c r="H21" s="28"/>
      <c r="I21" s="39">
        <v>5000</v>
      </c>
      <c r="J21" s="58">
        <v>21.97</v>
      </c>
      <c r="K21" s="58">
        <f t="shared" si="6"/>
        <v>109850</v>
      </c>
      <c r="L21" s="61">
        <f t="shared" si="2"/>
        <v>0.45770833333333333</v>
      </c>
      <c r="N21" s="135">
        <v>5000</v>
      </c>
      <c r="O21" s="129">
        <v>20.54</v>
      </c>
      <c r="P21" s="132">
        <f t="shared" ref="P21" si="10">N21*O21</f>
        <v>102700</v>
      </c>
      <c r="Q21" s="83">
        <f t="shared" si="8"/>
        <v>0.42791666666666667</v>
      </c>
    </row>
    <row r="22" spans="1:17" ht="15" customHeight="1">
      <c r="A22" s="71" t="s">
        <v>113</v>
      </c>
      <c r="B22" s="66" t="s">
        <v>60</v>
      </c>
      <c r="C22" s="67">
        <v>72</v>
      </c>
      <c r="D22" s="68">
        <v>0</v>
      </c>
      <c r="E22" s="148">
        <v>0</v>
      </c>
      <c r="F22" s="33">
        <v>0</v>
      </c>
      <c r="G22" s="82">
        <v>0</v>
      </c>
      <c r="H22" s="28"/>
      <c r="I22" s="32">
        <v>0</v>
      </c>
      <c r="J22" s="35">
        <v>0</v>
      </c>
      <c r="K22" s="33">
        <v>0</v>
      </c>
      <c r="L22" s="145">
        <f t="shared" si="2"/>
        <v>0</v>
      </c>
      <c r="N22" s="92">
        <v>0</v>
      </c>
      <c r="O22" s="33">
        <v>0</v>
      </c>
      <c r="P22" s="33">
        <v>0</v>
      </c>
      <c r="Q22" s="84">
        <v>0</v>
      </c>
    </row>
    <row r="23" spans="1:17" ht="15" customHeight="1">
      <c r="A23" s="71" t="s">
        <v>114</v>
      </c>
      <c r="B23" s="52" t="s">
        <v>42</v>
      </c>
      <c r="C23" s="53">
        <v>45</v>
      </c>
      <c r="D23" s="54">
        <v>2000</v>
      </c>
      <c r="E23" s="148">
        <v>20.87</v>
      </c>
      <c r="F23" s="33">
        <v>37450</v>
      </c>
      <c r="G23" s="64">
        <f t="shared" si="5"/>
        <v>0.46377777777777779</v>
      </c>
      <c r="H23" s="28"/>
      <c r="I23" s="32">
        <v>0</v>
      </c>
      <c r="J23" s="35">
        <v>0</v>
      </c>
      <c r="K23" s="33">
        <v>0</v>
      </c>
      <c r="L23" s="145">
        <f t="shared" si="2"/>
        <v>0</v>
      </c>
      <c r="N23" s="32">
        <v>0</v>
      </c>
      <c r="O23" s="33">
        <v>0</v>
      </c>
      <c r="P23" s="33">
        <v>0</v>
      </c>
      <c r="Q23" s="84">
        <v>0</v>
      </c>
    </row>
    <row r="24" spans="1:17" ht="15" customHeight="1">
      <c r="A24" s="71" t="s">
        <v>115</v>
      </c>
      <c r="B24" s="30" t="s">
        <v>44</v>
      </c>
      <c r="C24" s="34">
        <v>45</v>
      </c>
      <c r="D24" s="39">
        <v>2000</v>
      </c>
      <c r="E24" s="148">
        <v>23.33</v>
      </c>
      <c r="F24" s="33">
        <v>42372</v>
      </c>
      <c r="G24" s="64">
        <f t="shared" si="5"/>
        <v>0.51844444444444437</v>
      </c>
      <c r="H24" s="28"/>
      <c r="I24" s="32">
        <v>0</v>
      </c>
      <c r="J24" s="35">
        <v>0</v>
      </c>
      <c r="K24" s="33">
        <v>0</v>
      </c>
      <c r="L24" s="145">
        <f t="shared" si="2"/>
        <v>0</v>
      </c>
      <c r="N24" s="32">
        <v>0</v>
      </c>
      <c r="O24" s="33">
        <v>0</v>
      </c>
      <c r="P24" s="33">
        <v>0</v>
      </c>
      <c r="Q24" s="84">
        <v>0</v>
      </c>
    </row>
    <row r="25" spans="1:17" ht="15" customHeight="1">
      <c r="A25" s="71" t="s">
        <v>116</v>
      </c>
      <c r="B25" s="30" t="s">
        <v>46</v>
      </c>
      <c r="C25" s="34">
        <v>55</v>
      </c>
      <c r="D25" s="39">
        <v>2000</v>
      </c>
      <c r="E25" s="148">
        <v>17.66</v>
      </c>
      <c r="F25" s="33">
        <v>35310</v>
      </c>
      <c r="G25" s="64">
        <f t="shared" si="5"/>
        <v>0.32109090909090909</v>
      </c>
      <c r="H25" s="28"/>
      <c r="I25" s="32">
        <v>0</v>
      </c>
      <c r="J25" s="35">
        <v>0</v>
      </c>
      <c r="K25" s="33">
        <v>0</v>
      </c>
      <c r="L25" s="145">
        <f t="shared" si="2"/>
        <v>0</v>
      </c>
      <c r="N25" s="32">
        <v>0</v>
      </c>
      <c r="O25" s="33">
        <v>0</v>
      </c>
      <c r="P25" s="33">
        <v>0</v>
      </c>
      <c r="Q25" s="84">
        <v>0</v>
      </c>
    </row>
    <row r="26" spans="1:17" ht="15" customHeight="1">
      <c r="A26" s="102" t="s">
        <v>117</v>
      </c>
      <c r="B26" s="30" t="s">
        <v>48</v>
      </c>
      <c r="C26" s="103">
        <v>55</v>
      </c>
      <c r="D26" s="55">
        <v>2000</v>
      </c>
      <c r="E26" s="148">
        <v>17.66</v>
      </c>
      <c r="F26" s="33">
        <v>35310</v>
      </c>
      <c r="G26" s="64">
        <f t="shared" si="5"/>
        <v>0.32109090909090909</v>
      </c>
      <c r="H26" s="28"/>
      <c r="I26" s="32">
        <v>0</v>
      </c>
      <c r="J26" s="35">
        <v>0</v>
      </c>
      <c r="K26" s="33">
        <v>0</v>
      </c>
      <c r="L26" s="145">
        <f t="shared" si="2"/>
        <v>0</v>
      </c>
      <c r="N26" s="32">
        <v>0</v>
      </c>
      <c r="O26" s="33">
        <v>0</v>
      </c>
      <c r="P26" s="33">
        <v>0</v>
      </c>
      <c r="Q26" s="84">
        <v>0</v>
      </c>
    </row>
    <row r="27" spans="1:17" ht="15" customHeight="1">
      <c r="A27" s="75" t="s">
        <v>118</v>
      </c>
      <c r="B27" s="100" t="s">
        <v>40</v>
      </c>
      <c r="C27" s="101">
        <v>155</v>
      </c>
      <c r="D27" s="345"/>
      <c r="E27" s="93"/>
      <c r="F27" s="93"/>
      <c r="G27" s="94"/>
      <c r="H27" s="29"/>
      <c r="I27" s="78">
        <v>70000</v>
      </c>
      <c r="J27" s="79">
        <v>25.46</v>
      </c>
      <c r="K27" s="80">
        <f>I27*J27</f>
        <v>1782200</v>
      </c>
      <c r="L27" s="61">
        <f t="shared" si="2"/>
        <v>0.16425806451612904</v>
      </c>
      <c r="N27" s="32">
        <v>0</v>
      </c>
      <c r="O27" s="33">
        <v>0</v>
      </c>
      <c r="P27" s="33">
        <v>0</v>
      </c>
      <c r="Q27" s="84">
        <v>0</v>
      </c>
    </row>
    <row r="28" spans="1:17" ht="15" customHeight="1">
      <c r="A28" s="75" t="s">
        <v>119</v>
      </c>
      <c r="B28" s="56" t="s">
        <v>41</v>
      </c>
      <c r="C28" s="77">
        <v>155</v>
      </c>
      <c r="D28" s="346"/>
      <c r="E28" s="95"/>
      <c r="F28" s="96"/>
      <c r="G28" s="94"/>
      <c r="H28" s="29"/>
      <c r="I28" s="78">
        <v>70000</v>
      </c>
      <c r="J28" s="79">
        <v>25.46</v>
      </c>
      <c r="K28" s="80">
        <f t="shared" ref="K28:K38" si="11">I28*J28</f>
        <v>1782200</v>
      </c>
      <c r="L28" s="61">
        <f t="shared" si="2"/>
        <v>0.16425806451612904</v>
      </c>
      <c r="N28" s="32">
        <v>0</v>
      </c>
      <c r="O28" s="35">
        <v>0</v>
      </c>
      <c r="P28" s="33">
        <v>0</v>
      </c>
      <c r="Q28" s="84">
        <v>0</v>
      </c>
    </row>
    <row r="29" spans="1:17" ht="15" customHeight="1">
      <c r="A29" s="75" t="s">
        <v>120</v>
      </c>
      <c r="B29" s="56" t="s">
        <v>43</v>
      </c>
      <c r="C29" s="77">
        <v>155</v>
      </c>
      <c r="D29" s="346"/>
      <c r="E29" s="94"/>
      <c r="F29" s="94"/>
      <c r="G29" s="94"/>
      <c r="H29" s="29"/>
      <c r="I29" s="78">
        <v>70000</v>
      </c>
      <c r="J29" s="79">
        <v>25.46</v>
      </c>
      <c r="K29" s="80">
        <f t="shared" si="11"/>
        <v>1782200</v>
      </c>
      <c r="L29" s="61">
        <f t="shared" si="2"/>
        <v>0.16425806451612904</v>
      </c>
      <c r="N29" s="32">
        <v>0</v>
      </c>
      <c r="O29" s="33">
        <v>0</v>
      </c>
      <c r="P29" s="33">
        <v>0</v>
      </c>
      <c r="Q29" s="84">
        <v>0</v>
      </c>
    </row>
    <row r="30" spans="1:17" ht="15" customHeight="1">
      <c r="A30" s="75" t="s">
        <v>121</v>
      </c>
      <c r="B30" s="56" t="s">
        <v>45</v>
      </c>
      <c r="C30" s="77">
        <v>155</v>
      </c>
      <c r="D30" s="346"/>
      <c r="E30" s="97"/>
      <c r="F30" s="98"/>
      <c r="G30" s="94"/>
      <c r="H30" s="29"/>
      <c r="I30" s="78">
        <v>70000</v>
      </c>
      <c r="J30" s="79">
        <v>25.46</v>
      </c>
      <c r="K30" s="80">
        <f t="shared" si="11"/>
        <v>1782200</v>
      </c>
      <c r="L30" s="61">
        <f t="shared" si="2"/>
        <v>0.16425806451612904</v>
      </c>
      <c r="N30" s="32">
        <v>0</v>
      </c>
      <c r="O30" s="35">
        <v>0</v>
      </c>
      <c r="P30" s="33">
        <v>0</v>
      </c>
      <c r="Q30" s="84">
        <v>0</v>
      </c>
    </row>
    <row r="31" spans="1:17" ht="15" customHeight="1">
      <c r="A31" s="75" t="s">
        <v>122</v>
      </c>
      <c r="B31" s="56" t="s">
        <v>47</v>
      </c>
      <c r="C31" s="77">
        <v>155</v>
      </c>
      <c r="D31" s="346"/>
      <c r="E31" s="94"/>
      <c r="F31" s="94"/>
      <c r="G31" s="94"/>
      <c r="H31" s="29"/>
      <c r="I31" s="78">
        <v>70000</v>
      </c>
      <c r="J31" s="79">
        <v>25.46</v>
      </c>
      <c r="K31" s="80">
        <f t="shared" si="11"/>
        <v>1782200</v>
      </c>
      <c r="L31" s="61">
        <f t="shared" si="2"/>
        <v>0.16425806451612904</v>
      </c>
      <c r="N31" s="32">
        <v>0</v>
      </c>
      <c r="O31" s="33">
        <v>0</v>
      </c>
      <c r="P31" s="33">
        <v>0</v>
      </c>
      <c r="Q31" s="84">
        <v>0</v>
      </c>
    </row>
    <row r="32" spans="1:17" ht="15" customHeight="1">
      <c r="A32" s="75" t="s">
        <v>123</v>
      </c>
      <c r="B32" s="56" t="s">
        <v>49</v>
      </c>
      <c r="C32" s="77">
        <v>155</v>
      </c>
      <c r="D32" s="346"/>
      <c r="E32" s="94"/>
      <c r="F32" s="94"/>
      <c r="G32" s="94"/>
      <c r="H32" s="29"/>
      <c r="I32" s="78">
        <v>70000</v>
      </c>
      <c r="J32" s="79">
        <v>25.46</v>
      </c>
      <c r="K32" s="80">
        <f t="shared" si="11"/>
        <v>1782200</v>
      </c>
      <c r="L32" s="61">
        <f t="shared" si="2"/>
        <v>0.16425806451612904</v>
      </c>
      <c r="N32" s="32">
        <v>0</v>
      </c>
      <c r="O32" s="35">
        <v>0</v>
      </c>
      <c r="P32" s="33">
        <v>0</v>
      </c>
      <c r="Q32" s="84">
        <v>0</v>
      </c>
    </row>
    <row r="33" spans="1:17" ht="15" customHeight="1">
      <c r="A33" s="75" t="s">
        <v>124</v>
      </c>
      <c r="B33" s="56" t="s">
        <v>51</v>
      </c>
      <c r="C33" s="77">
        <v>65</v>
      </c>
      <c r="D33" s="346"/>
      <c r="E33" s="94"/>
      <c r="F33" s="94"/>
      <c r="G33" s="94"/>
      <c r="H33" s="29"/>
      <c r="I33" s="78">
        <v>10000</v>
      </c>
      <c r="J33" s="50">
        <v>12.19</v>
      </c>
      <c r="K33" s="80">
        <f t="shared" si="11"/>
        <v>121900</v>
      </c>
      <c r="L33" s="61">
        <f t="shared" si="2"/>
        <v>0.18753846153846154</v>
      </c>
      <c r="N33" s="32">
        <v>0</v>
      </c>
      <c r="O33" s="33">
        <v>0</v>
      </c>
      <c r="P33" s="33">
        <v>0</v>
      </c>
      <c r="Q33" s="84">
        <v>0</v>
      </c>
    </row>
    <row r="34" spans="1:17" ht="15" customHeight="1">
      <c r="A34" s="75" t="s">
        <v>125</v>
      </c>
      <c r="B34" s="56" t="s">
        <v>52</v>
      </c>
      <c r="C34" s="77">
        <v>65</v>
      </c>
      <c r="D34" s="346"/>
      <c r="E34" s="94"/>
      <c r="F34" s="94"/>
      <c r="G34" s="94"/>
      <c r="H34" s="29"/>
      <c r="I34" s="78">
        <v>10000</v>
      </c>
      <c r="J34" s="50">
        <v>12.19</v>
      </c>
      <c r="K34" s="80">
        <f t="shared" si="11"/>
        <v>121900</v>
      </c>
      <c r="L34" s="61">
        <f t="shared" si="2"/>
        <v>0.18753846153846154</v>
      </c>
      <c r="N34" s="32">
        <v>0</v>
      </c>
      <c r="O34" s="35">
        <v>0</v>
      </c>
      <c r="P34" s="33">
        <v>0</v>
      </c>
      <c r="Q34" s="84">
        <v>0</v>
      </c>
    </row>
    <row r="35" spans="1:17" ht="15" customHeight="1">
      <c r="A35" s="75" t="s">
        <v>126</v>
      </c>
      <c r="B35" s="56" t="s">
        <v>53</v>
      </c>
      <c r="C35" s="77">
        <v>65</v>
      </c>
      <c r="D35" s="346"/>
      <c r="E35" s="94"/>
      <c r="F35" s="94"/>
      <c r="G35" s="94"/>
      <c r="H35" s="29"/>
      <c r="I35" s="78">
        <v>10000</v>
      </c>
      <c r="J35" s="50">
        <v>12.19</v>
      </c>
      <c r="K35" s="80">
        <f t="shared" si="11"/>
        <v>121900</v>
      </c>
      <c r="L35" s="61">
        <f t="shared" si="2"/>
        <v>0.18753846153846154</v>
      </c>
      <c r="N35" s="32">
        <v>0</v>
      </c>
      <c r="O35" s="33">
        <v>0</v>
      </c>
      <c r="P35" s="33">
        <v>0</v>
      </c>
      <c r="Q35" s="84">
        <v>0</v>
      </c>
    </row>
    <row r="36" spans="1:17" ht="15" customHeight="1">
      <c r="A36" s="75" t="s">
        <v>127</v>
      </c>
      <c r="B36" s="56" t="s">
        <v>54</v>
      </c>
      <c r="C36" s="77">
        <v>65</v>
      </c>
      <c r="D36" s="346"/>
      <c r="E36" s="94"/>
      <c r="F36" s="94"/>
      <c r="G36" s="94"/>
      <c r="H36" s="29"/>
      <c r="I36" s="78">
        <v>10000</v>
      </c>
      <c r="J36" s="50">
        <v>12.19</v>
      </c>
      <c r="K36" s="80">
        <f t="shared" si="11"/>
        <v>121900</v>
      </c>
      <c r="L36" s="61">
        <f t="shared" si="2"/>
        <v>0.18753846153846154</v>
      </c>
      <c r="N36" s="32">
        <v>0</v>
      </c>
      <c r="O36" s="35">
        <v>0</v>
      </c>
      <c r="P36" s="33">
        <v>0</v>
      </c>
      <c r="Q36" s="84">
        <v>0</v>
      </c>
    </row>
    <row r="37" spans="1:17" ht="15" customHeight="1">
      <c r="A37" s="75" t="s">
        <v>128</v>
      </c>
      <c r="B37" s="56" t="s">
        <v>55</v>
      </c>
      <c r="C37" s="77">
        <v>65</v>
      </c>
      <c r="D37" s="346"/>
      <c r="E37" s="99"/>
      <c r="F37" s="99"/>
      <c r="G37" s="99"/>
      <c r="H37" s="29"/>
      <c r="I37" s="78">
        <v>10000</v>
      </c>
      <c r="J37" s="50">
        <v>12.19</v>
      </c>
      <c r="K37" s="80">
        <f t="shared" si="11"/>
        <v>121900</v>
      </c>
      <c r="L37" s="61">
        <f t="shared" si="2"/>
        <v>0.18753846153846154</v>
      </c>
      <c r="N37" s="32">
        <v>0</v>
      </c>
      <c r="O37" s="33">
        <v>0</v>
      </c>
      <c r="P37" s="33">
        <v>0</v>
      </c>
      <c r="Q37" s="84">
        <v>0</v>
      </c>
    </row>
    <row r="38" spans="1:17" ht="15" customHeight="1">
      <c r="A38" s="76" t="s">
        <v>129</v>
      </c>
      <c r="B38" s="85" t="s">
        <v>56</v>
      </c>
      <c r="C38" s="86">
        <v>65</v>
      </c>
      <c r="D38" s="347"/>
      <c r="E38" s="51"/>
      <c r="F38" s="51"/>
      <c r="G38" s="51"/>
      <c r="H38" s="29"/>
      <c r="I38" s="89">
        <v>10000</v>
      </c>
      <c r="J38" s="90">
        <v>12.19</v>
      </c>
      <c r="K38" s="91">
        <f t="shared" si="11"/>
        <v>121900</v>
      </c>
      <c r="L38" s="61">
        <f t="shared" si="2"/>
        <v>0.18753846153846154</v>
      </c>
      <c r="N38" s="87">
        <v>0</v>
      </c>
      <c r="O38" s="49">
        <v>0</v>
      </c>
      <c r="P38" s="49">
        <v>0</v>
      </c>
      <c r="Q38" s="88">
        <v>0</v>
      </c>
    </row>
    <row r="39" spans="1:17">
      <c r="B39" s="74"/>
      <c r="C39" s="29"/>
      <c r="D39" s="350">
        <v>119000</v>
      </c>
      <c r="E39" s="29"/>
      <c r="F39" s="351">
        <v>2820359.5</v>
      </c>
      <c r="G39" s="29"/>
      <c r="H39" s="29"/>
      <c r="I39" s="352">
        <f>SUM(I3:I38)</f>
        <v>590000</v>
      </c>
      <c r="J39" s="344"/>
      <c r="K39" s="353">
        <f>SUM(K3:K38)</f>
        <v>13912160</v>
      </c>
      <c r="N39" s="354">
        <f>SUM(N3:N38)</f>
        <v>105000</v>
      </c>
      <c r="P39" s="355">
        <f>SUM(P3:P38)</f>
        <v>2314930</v>
      </c>
    </row>
    <row r="40" spans="1:17">
      <c r="B40" s="74"/>
      <c r="C40" s="29"/>
      <c r="D40" s="81"/>
      <c r="E40" s="390"/>
      <c r="F40" s="391"/>
      <c r="G40" s="392"/>
      <c r="H40" s="391"/>
      <c r="I40" s="391"/>
      <c r="J40" s="388"/>
      <c r="K40" s="393"/>
      <c r="L40" s="81"/>
      <c r="M40" s="81"/>
      <c r="N40" s="388"/>
      <c r="O40" s="81"/>
      <c r="P40" s="394"/>
      <c r="Q40" s="81"/>
    </row>
    <row r="41" spans="1:17" ht="27">
      <c r="B41" s="307" t="s">
        <v>146</v>
      </c>
      <c r="C41" s="307"/>
      <c r="D41" s="307"/>
      <c r="E41" s="306"/>
      <c r="F41" s="306"/>
      <c r="H41" s="29"/>
      <c r="J41" s="241"/>
      <c r="K41" s="242"/>
    </row>
    <row r="42" spans="1:17">
      <c r="A42" s="173" t="s">
        <v>12</v>
      </c>
      <c r="B42" s="165" t="s">
        <v>11</v>
      </c>
      <c r="C42" s="166">
        <v>60</v>
      </c>
      <c r="D42" s="159">
        <v>3500</v>
      </c>
      <c r="E42" s="176">
        <v>21.92</v>
      </c>
      <c r="F42" s="357">
        <f>D42*E42</f>
        <v>76720</v>
      </c>
      <c r="G42" s="160">
        <f>E42/C42</f>
        <v>0.36533333333333334</v>
      </c>
      <c r="H42" s="146"/>
      <c r="I42" s="361">
        <v>3000</v>
      </c>
      <c r="J42" s="362">
        <v>21.4</v>
      </c>
      <c r="K42" s="171">
        <f t="shared" ref="K42" si="12">I42*J42</f>
        <v>64199.999999999993</v>
      </c>
      <c r="L42" s="169">
        <f t="shared" ref="L42" si="13">J42/C42</f>
        <v>0.35666666666666663</v>
      </c>
      <c r="M42" s="146"/>
      <c r="N42" s="159">
        <v>3000</v>
      </c>
      <c r="O42" s="176">
        <v>22.89</v>
      </c>
      <c r="P42" s="177">
        <f>N42*O42</f>
        <v>68670</v>
      </c>
      <c r="Q42" s="160">
        <f>O42/C42</f>
        <v>0.38150000000000001</v>
      </c>
    </row>
    <row r="43" spans="1:17">
      <c r="A43" s="174" t="s">
        <v>66</v>
      </c>
      <c r="B43" s="167" t="s">
        <v>67</v>
      </c>
      <c r="C43" s="168">
        <v>60</v>
      </c>
      <c r="D43" s="135">
        <v>3500</v>
      </c>
      <c r="E43" s="45">
        <v>19.63</v>
      </c>
      <c r="F43" s="358">
        <f t="shared" ref="F43:F45" si="14">D43*E43</f>
        <v>68705</v>
      </c>
      <c r="G43" s="162">
        <f t="shared" ref="G43:G45" si="15">E43/C43</f>
        <v>0.32716666666666666</v>
      </c>
      <c r="H43" s="146"/>
      <c r="I43" s="363">
        <v>3000</v>
      </c>
      <c r="J43" s="364">
        <v>19.149999999999999</v>
      </c>
      <c r="K43" s="155">
        <f t="shared" ref="K43:K45" si="16">I43*J43</f>
        <v>57449.999999999993</v>
      </c>
      <c r="L43" s="61">
        <f t="shared" ref="L43:L45" si="17">J43/C43</f>
        <v>0.31916666666666665</v>
      </c>
      <c r="M43" s="146"/>
      <c r="N43" s="135">
        <v>3000</v>
      </c>
      <c r="O43" s="45">
        <v>20.49</v>
      </c>
      <c r="P43" s="178">
        <f t="shared" ref="P43:P45" si="18">N43*O43</f>
        <v>61469.999999999993</v>
      </c>
      <c r="Q43" s="162">
        <f t="shared" ref="Q43:Q45" si="19">O43/C43</f>
        <v>0.34149999999999997</v>
      </c>
    </row>
    <row r="44" spans="1:17">
      <c r="A44" s="174" t="s">
        <v>68</v>
      </c>
      <c r="B44" s="167" t="s">
        <v>69</v>
      </c>
      <c r="C44" s="168">
        <v>60</v>
      </c>
      <c r="D44" s="135">
        <v>3500</v>
      </c>
      <c r="E44" s="179">
        <v>20.6</v>
      </c>
      <c r="F44" s="358">
        <f t="shared" si="14"/>
        <v>72100</v>
      </c>
      <c r="G44" s="162">
        <f t="shared" si="15"/>
        <v>0.34333333333333338</v>
      </c>
      <c r="H44" s="146"/>
      <c r="I44" s="365">
        <v>3000</v>
      </c>
      <c r="J44" s="366">
        <v>20.059999999999999</v>
      </c>
      <c r="K44" s="172">
        <f t="shared" si="16"/>
        <v>60179.999999999993</v>
      </c>
      <c r="L44" s="61">
        <f t="shared" si="17"/>
        <v>0.33433333333333332</v>
      </c>
      <c r="M44" s="146"/>
      <c r="N44" s="135">
        <v>3000</v>
      </c>
      <c r="O44" s="45">
        <v>21.46</v>
      </c>
      <c r="P44" s="178">
        <f t="shared" si="18"/>
        <v>64380</v>
      </c>
      <c r="Q44" s="162">
        <f t="shared" si="19"/>
        <v>0.35766666666666669</v>
      </c>
    </row>
    <row r="45" spans="1:17">
      <c r="A45" s="175" t="s">
        <v>70</v>
      </c>
      <c r="B45" s="158" t="s">
        <v>71</v>
      </c>
      <c r="C45" s="163">
        <v>60</v>
      </c>
      <c r="D45" s="157">
        <v>3500</v>
      </c>
      <c r="E45" s="180">
        <v>19.63</v>
      </c>
      <c r="F45" s="359">
        <f t="shared" si="14"/>
        <v>68705</v>
      </c>
      <c r="G45" s="164">
        <f t="shared" si="15"/>
        <v>0.32716666666666666</v>
      </c>
      <c r="H45" s="146"/>
      <c r="I45" s="367">
        <v>3000</v>
      </c>
      <c r="J45" s="368">
        <v>19.149999999999999</v>
      </c>
      <c r="K45" s="154">
        <f t="shared" si="16"/>
        <v>57449.999999999993</v>
      </c>
      <c r="L45" s="170">
        <f t="shared" si="17"/>
        <v>0.31916666666666665</v>
      </c>
      <c r="M45" s="146"/>
      <c r="N45" s="157">
        <v>3000</v>
      </c>
      <c r="O45" s="180">
        <v>20.49</v>
      </c>
      <c r="P45" s="181">
        <f t="shared" si="18"/>
        <v>61469.999999999993</v>
      </c>
      <c r="Q45" s="164">
        <f t="shared" si="19"/>
        <v>0.34149999999999997</v>
      </c>
    </row>
    <row r="46" spans="1:17">
      <c r="D46" s="356">
        <f>SUM(D42:D45)</f>
        <v>14000</v>
      </c>
      <c r="F46" s="356">
        <f>SUM(F42:F45)</f>
        <v>286230</v>
      </c>
      <c r="I46" s="360">
        <f>SUM(I42:I45)</f>
        <v>12000</v>
      </c>
      <c r="K46" s="360">
        <f>SUM(K42:K45)</f>
        <v>239279.99999999997</v>
      </c>
      <c r="N46" s="354">
        <f>SUM(N42:N45)</f>
        <v>12000</v>
      </c>
      <c r="O46" s="81"/>
      <c r="P46" s="354">
        <f>SUM(P42:P45)</f>
        <v>255990</v>
      </c>
    </row>
    <row r="47" spans="1:17">
      <c r="D47" s="389"/>
      <c r="E47" s="81"/>
      <c r="F47" s="388"/>
      <c r="G47" s="81"/>
      <c r="H47" s="81"/>
      <c r="I47" s="388"/>
      <c r="J47" s="81"/>
      <c r="K47" s="388"/>
      <c r="L47" s="81"/>
      <c r="M47" s="81"/>
      <c r="N47" s="388"/>
      <c r="O47" s="81"/>
      <c r="P47" s="388"/>
    </row>
    <row r="48" spans="1:17" ht="27">
      <c r="B48" s="307" t="s">
        <v>147</v>
      </c>
      <c r="C48" s="307"/>
      <c r="D48" s="307"/>
      <c r="E48" s="306"/>
      <c r="F48" s="306"/>
    </row>
    <row r="49" spans="1:17">
      <c r="A49" s="212" t="s">
        <v>138</v>
      </c>
      <c r="B49" s="182" t="s">
        <v>134</v>
      </c>
      <c r="C49" s="183">
        <v>124</v>
      </c>
      <c r="D49" s="202">
        <v>80000</v>
      </c>
      <c r="E49" s="203">
        <v>64.5</v>
      </c>
      <c r="F49" s="203">
        <f>D49*E49</f>
        <v>5160000</v>
      </c>
      <c r="G49" s="198">
        <f>E49/C49</f>
        <v>0.52016129032258063</v>
      </c>
      <c r="I49" s="189">
        <v>30000</v>
      </c>
      <c r="J49" s="190">
        <v>53</v>
      </c>
      <c r="K49" s="190">
        <f>I49*J49</f>
        <v>1590000</v>
      </c>
      <c r="L49" s="160">
        <f>J49/C49</f>
        <v>0.42741935483870969</v>
      </c>
      <c r="N49" s="26">
        <v>0</v>
      </c>
      <c r="O49" s="208">
        <v>0</v>
      </c>
      <c r="P49" s="209">
        <v>0</v>
      </c>
      <c r="Q49" s="210">
        <v>0</v>
      </c>
    </row>
    <row r="50" spans="1:17">
      <c r="A50" s="214" t="s">
        <v>72</v>
      </c>
      <c r="B50" s="184" t="s">
        <v>142</v>
      </c>
      <c r="C50" s="185">
        <v>129</v>
      </c>
      <c r="D50" s="191"/>
      <c r="E50" s="192"/>
      <c r="F50" s="192"/>
      <c r="G50" s="199"/>
      <c r="I50" s="191"/>
      <c r="J50" s="192"/>
      <c r="K50" s="192"/>
      <c r="L50" s="193"/>
      <c r="N50" s="205">
        <v>50000</v>
      </c>
      <c r="O50" s="206">
        <v>48</v>
      </c>
      <c r="P50" s="206">
        <f>N50*O50</f>
        <v>2400000</v>
      </c>
      <c r="Q50" s="207">
        <f>O50/C50</f>
        <v>0.37209302325581395</v>
      </c>
    </row>
    <row r="51" spans="1:17">
      <c r="A51" s="161" t="s">
        <v>139</v>
      </c>
      <c r="B51" s="186" t="s">
        <v>135</v>
      </c>
      <c r="C51" s="187">
        <v>124</v>
      </c>
      <c r="D51" s="191">
        <v>70000</v>
      </c>
      <c r="E51" s="192">
        <v>65.5</v>
      </c>
      <c r="F51" s="192">
        <f>D51*E51</f>
        <v>4585000</v>
      </c>
      <c r="G51" s="200">
        <f>E51/C51</f>
        <v>0.52822580645161288</v>
      </c>
      <c r="I51" s="191">
        <v>30000</v>
      </c>
      <c r="J51" s="192">
        <v>53</v>
      </c>
      <c r="K51" s="192">
        <f>I51*J51</f>
        <v>1590000</v>
      </c>
      <c r="L51" s="162">
        <f>J51/C51</f>
        <v>0.42741935483870969</v>
      </c>
      <c r="N51" s="32">
        <v>0</v>
      </c>
      <c r="O51" s="151">
        <v>0</v>
      </c>
      <c r="P51" s="36">
        <v>0</v>
      </c>
      <c r="Q51" s="194">
        <v>0</v>
      </c>
    </row>
    <row r="52" spans="1:17">
      <c r="A52" s="214" t="s">
        <v>73</v>
      </c>
      <c r="B52" s="184" t="s">
        <v>143</v>
      </c>
      <c r="C52" s="185">
        <v>129</v>
      </c>
      <c r="D52" s="191"/>
      <c r="E52" s="192"/>
      <c r="F52" s="192"/>
      <c r="G52" s="199"/>
      <c r="I52" s="191"/>
      <c r="J52" s="192"/>
      <c r="K52" s="192"/>
      <c r="L52" s="193"/>
      <c r="N52" s="205">
        <v>50000</v>
      </c>
      <c r="O52" s="206">
        <v>48</v>
      </c>
      <c r="P52" s="206">
        <f>N52*O52</f>
        <v>2400000</v>
      </c>
      <c r="Q52" s="207">
        <f>O52/C52</f>
        <v>0.37209302325581395</v>
      </c>
    </row>
    <row r="53" spans="1:17">
      <c r="A53" s="161" t="s">
        <v>74</v>
      </c>
      <c r="B53" s="186" t="s">
        <v>75</v>
      </c>
      <c r="C53" s="187">
        <v>124</v>
      </c>
      <c r="D53" s="191">
        <v>70000</v>
      </c>
      <c r="E53" s="192">
        <v>65.5</v>
      </c>
      <c r="F53" s="192">
        <f>D53*E53</f>
        <v>4585000</v>
      </c>
      <c r="G53" s="200">
        <f>E53/C53</f>
        <v>0.52822580645161288</v>
      </c>
      <c r="I53" s="191">
        <v>30000</v>
      </c>
      <c r="J53" s="192">
        <v>53</v>
      </c>
      <c r="K53" s="192">
        <f>I53*J53</f>
        <v>1590000</v>
      </c>
      <c r="L53" s="162">
        <f>J53/C53</f>
        <v>0.42741935483870969</v>
      </c>
      <c r="N53" s="191">
        <v>30000</v>
      </c>
      <c r="O53" s="192">
        <v>53</v>
      </c>
      <c r="P53" s="192">
        <f>N53*O53</f>
        <v>1590000</v>
      </c>
      <c r="Q53" s="162">
        <f>O53/C53</f>
        <v>0.42741935483870969</v>
      </c>
    </row>
    <row r="54" spans="1:17">
      <c r="A54" s="161" t="s">
        <v>76</v>
      </c>
      <c r="B54" s="186" t="s">
        <v>77</v>
      </c>
      <c r="C54" s="187">
        <v>124</v>
      </c>
      <c r="D54" s="191">
        <v>50000</v>
      </c>
      <c r="E54" s="192">
        <v>67.75</v>
      </c>
      <c r="F54" s="192">
        <f>D54*E54</f>
        <v>3387500</v>
      </c>
      <c r="G54" s="200">
        <f>E54/C54</f>
        <v>0.5463709677419355</v>
      </c>
      <c r="I54" s="191">
        <v>20000</v>
      </c>
      <c r="J54" s="192">
        <v>55</v>
      </c>
      <c r="K54" s="192">
        <f>I54*J54</f>
        <v>1100000</v>
      </c>
      <c r="L54" s="162">
        <f>J54/C54</f>
        <v>0.44354838709677419</v>
      </c>
      <c r="N54" s="191">
        <v>30000</v>
      </c>
      <c r="O54" s="192">
        <v>53</v>
      </c>
      <c r="P54" s="192">
        <f>N54*O54</f>
        <v>1590000</v>
      </c>
      <c r="Q54" s="162">
        <f t="shared" ref="Q54:Q64" si="20">O54/C54</f>
        <v>0.42741935483870969</v>
      </c>
    </row>
    <row r="55" spans="1:17">
      <c r="A55" s="161" t="s">
        <v>78</v>
      </c>
      <c r="B55" s="186" t="s">
        <v>79</v>
      </c>
      <c r="C55" s="187">
        <v>124</v>
      </c>
      <c r="D55" s="191">
        <v>47000</v>
      </c>
      <c r="E55" s="192">
        <v>69.25</v>
      </c>
      <c r="F55" s="192">
        <f>D55*E55</f>
        <v>3254750</v>
      </c>
      <c r="G55" s="200">
        <f>E55/C55</f>
        <v>0.55846774193548387</v>
      </c>
      <c r="I55" s="191">
        <v>20000</v>
      </c>
      <c r="J55" s="192">
        <v>55</v>
      </c>
      <c r="K55" s="192">
        <f>I55*J55</f>
        <v>1100000</v>
      </c>
      <c r="L55" s="162">
        <f>J55/C55</f>
        <v>0.44354838709677419</v>
      </c>
      <c r="N55" s="191">
        <v>30000</v>
      </c>
      <c r="O55" s="192">
        <v>53</v>
      </c>
      <c r="P55" s="192">
        <f>N55*O55</f>
        <v>1590000</v>
      </c>
      <c r="Q55" s="162">
        <f t="shared" si="20"/>
        <v>0.42741935483870969</v>
      </c>
    </row>
    <row r="56" spans="1:17">
      <c r="A56" s="161" t="s">
        <v>80</v>
      </c>
      <c r="B56" s="186" t="s">
        <v>81</v>
      </c>
      <c r="C56" s="187">
        <v>124</v>
      </c>
      <c r="D56" s="195">
        <v>43000</v>
      </c>
      <c r="E56" s="192">
        <v>69.25</v>
      </c>
      <c r="F56" s="192">
        <f>D56*E56</f>
        <v>2977750</v>
      </c>
      <c r="G56" s="200">
        <f>E56/C56</f>
        <v>0.55846774193548387</v>
      </c>
      <c r="I56" s="32">
        <v>0</v>
      </c>
      <c r="J56" s="151">
        <v>0</v>
      </c>
      <c r="K56" s="36">
        <v>0</v>
      </c>
      <c r="L56" s="194">
        <v>0</v>
      </c>
      <c r="N56" s="191">
        <v>30000</v>
      </c>
      <c r="O56" s="151">
        <v>53</v>
      </c>
      <c r="P56" s="192">
        <f>N56*O56</f>
        <v>1590000</v>
      </c>
      <c r="Q56" s="162">
        <f t="shared" si="20"/>
        <v>0.42741935483870969</v>
      </c>
    </row>
    <row r="57" spans="1:17">
      <c r="A57" s="161" t="s">
        <v>82</v>
      </c>
      <c r="B57" s="186" t="s">
        <v>136</v>
      </c>
      <c r="C57" s="187">
        <v>60</v>
      </c>
      <c r="D57" s="195">
        <v>22500</v>
      </c>
      <c r="E57" s="192">
        <v>33.5</v>
      </c>
      <c r="F57" s="192">
        <f>D57*E57</f>
        <v>753750</v>
      </c>
      <c r="G57" s="200">
        <f>E57/C57</f>
        <v>0.55833333333333335</v>
      </c>
      <c r="I57" s="32">
        <v>0</v>
      </c>
      <c r="J57" s="151">
        <v>0</v>
      </c>
      <c r="K57" s="36">
        <v>0</v>
      </c>
      <c r="L57" s="194">
        <v>0</v>
      </c>
      <c r="N57" s="32">
        <v>0</v>
      </c>
      <c r="O57" s="151">
        <v>0</v>
      </c>
      <c r="P57" s="36">
        <v>0</v>
      </c>
      <c r="Q57" s="194">
        <v>0</v>
      </c>
    </row>
    <row r="58" spans="1:17">
      <c r="A58" s="214" t="s">
        <v>140</v>
      </c>
      <c r="B58" s="184" t="s">
        <v>144</v>
      </c>
      <c r="C58" s="185">
        <v>60</v>
      </c>
      <c r="D58" s="195"/>
      <c r="E58" s="192"/>
      <c r="F58" s="192"/>
      <c r="G58" s="200"/>
      <c r="I58" s="195"/>
      <c r="J58" s="192"/>
      <c r="K58" s="192"/>
      <c r="L58" s="162"/>
      <c r="N58" s="211">
        <v>25000</v>
      </c>
      <c r="O58" s="206">
        <v>27</v>
      </c>
      <c r="P58" s="206">
        <f>N58*O58</f>
        <v>675000</v>
      </c>
      <c r="Q58" s="207">
        <f t="shared" ref="Q58" si="21">O58/C58</f>
        <v>0.45</v>
      </c>
    </row>
    <row r="59" spans="1:17">
      <c r="A59" s="161" t="s">
        <v>83</v>
      </c>
      <c r="B59" s="186" t="s">
        <v>137</v>
      </c>
      <c r="C59" s="187">
        <v>60</v>
      </c>
      <c r="D59" s="195">
        <v>22500</v>
      </c>
      <c r="E59" s="192">
        <v>33.5</v>
      </c>
      <c r="F59" s="192">
        <f>D59*E59</f>
        <v>753750</v>
      </c>
      <c r="G59" s="200">
        <f>E59/C59</f>
        <v>0.55833333333333335</v>
      </c>
      <c r="I59" s="32">
        <v>0</v>
      </c>
      <c r="J59" s="151">
        <v>0</v>
      </c>
      <c r="K59" s="36">
        <v>0</v>
      </c>
      <c r="L59" s="194">
        <v>0</v>
      </c>
      <c r="N59" s="32">
        <v>0</v>
      </c>
      <c r="O59" s="151">
        <v>0</v>
      </c>
      <c r="P59" s="36">
        <v>0</v>
      </c>
      <c r="Q59" s="194">
        <v>0</v>
      </c>
    </row>
    <row r="60" spans="1:17">
      <c r="A60" s="214" t="s">
        <v>141</v>
      </c>
      <c r="B60" s="184" t="s">
        <v>145</v>
      </c>
      <c r="C60" s="185">
        <v>60</v>
      </c>
      <c r="D60" s="195"/>
      <c r="E60" s="192"/>
      <c r="F60" s="192"/>
      <c r="G60" s="200"/>
      <c r="I60" s="195"/>
      <c r="J60" s="192"/>
      <c r="K60" s="192"/>
      <c r="L60" s="162"/>
      <c r="N60" s="211">
        <v>23000</v>
      </c>
      <c r="O60" s="206">
        <v>28</v>
      </c>
      <c r="P60" s="206">
        <f>N60*O60</f>
        <v>644000</v>
      </c>
      <c r="Q60" s="207">
        <f t="shared" ref="Q60" si="22">O60/C60</f>
        <v>0.46666666666666667</v>
      </c>
    </row>
    <row r="61" spans="1:17">
      <c r="A61" s="161" t="s">
        <v>84</v>
      </c>
      <c r="B61" s="186" t="s">
        <v>85</v>
      </c>
      <c r="C61" s="187">
        <v>60</v>
      </c>
      <c r="D61" s="195">
        <v>22500</v>
      </c>
      <c r="E61" s="192">
        <v>33.5</v>
      </c>
      <c r="F61" s="192">
        <f>D61*E61</f>
        <v>753750</v>
      </c>
      <c r="G61" s="200">
        <f>E61/C61</f>
        <v>0.55833333333333335</v>
      </c>
      <c r="I61" s="32">
        <v>0</v>
      </c>
      <c r="J61" s="151">
        <v>0</v>
      </c>
      <c r="K61" s="36">
        <v>0</v>
      </c>
      <c r="L61" s="194">
        <v>0</v>
      </c>
      <c r="N61" s="195">
        <v>20000</v>
      </c>
      <c r="O61" s="192">
        <v>29</v>
      </c>
      <c r="P61" s="192">
        <f>N61*O61</f>
        <v>580000</v>
      </c>
      <c r="Q61" s="162">
        <f t="shared" si="20"/>
        <v>0.48333333333333334</v>
      </c>
    </row>
    <row r="62" spans="1:17">
      <c r="A62" s="161" t="s">
        <v>86</v>
      </c>
      <c r="B62" s="186" t="s">
        <v>87</v>
      </c>
      <c r="C62" s="187">
        <v>60</v>
      </c>
      <c r="D62" s="32">
        <v>0</v>
      </c>
      <c r="E62" s="151">
        <v>0</v>
      </c>
      <c r="F62" s="36">
        <v>0</v>
      </c>
      <c r="G62" s="194">
        <v>0</v>
      </c>
      <c r="I62" s="32">
        <v>0</v>
      </c>
      <c r="J62" s="151">
        <v>0</v>
      </c>
      <c r="K62" s="36">
        <v>0</v>
      </c>
      <c r="L62" s="194">
        <v>0</v>
      </c>
      <c r="N62" s="195">
        <v>10000</v>
      </c>
      <c r="O62" s="192">
        <v>30</v>
      </c>
      <c r="P62" s="192">
        <f>N62*O62</f>
        <v>300000</v>
      </c>
      <c r="Q62" s="162">
        <f t="shared" si="20"/>
        <v>0.5</v>
      </c>
    </row>
    <row r="63" spans="1:17">
      <c r="A63" s="161" t="s">
        <v>88</v>
      </c>
      <c r="B63" s="186" t="s">
        <v>89</v>
      </c>
      <c r="C63" s="187">
        <v>60</v>
      </c>
      <c r="D63" s="195">
        <v>10000</v>
      </c>
      <c r="E63" s="192">
        <v>36.35</v>
      </c>
      <c r="F63" s="192">
        <f>D63*E63</f>
        <v>363500</v>
      </c>
      <c r="G63" s="200">
        <f>E63/C63</f>
        <v>0.60583333333333333</v>
      </c>
      <c r="I63" s="32">
        <v>0</v>
      </c>
      <c r="J63" s="151">
        <v>0</v>
      </c>
      <c r="K63" s="36">
        <v>0</v>
      </c>
      <c r="L63" s="194">
        <v>0</v>
      </c>
      <c r="N63" s="195">
        <v>10000</v>
      </c>
      <c r="O63" s="192">
        <v>30</v>
      </c>
      <c r="P63" s="192">
        <f>N63*O63</f>
        <v>300000</v>
      </c>
      <c r="Q63" s="162">
        <f t="shared" si="20"/>
        <v>0.5</v>
      </c>
    </row>
    <row r="64" spans="1:17">
      <c r="A64" s="213" t="s">
        <v>90</v>
      </c>
      <c r="B64" s="188" t="s">
        <v>91</v>
      </c>
      <c r="C64" s="374">
        <v>60</v>
      </c>
      <c r="D64" s="87">
        <v>0</v>
      </c>
      <c r="E64" s="372">
        <v>0</v>
      </c>
      <c r="F64" s="340">
        <v>0</v>
      </c>
      <c r="G64" s="373">
        <v>0</v>
      </c>
      <c r="I64" s="87">
        <v>0</v>
      </c>
      <c r="J64" s="372">
        <v>0</v>
      </c>
      <c r="K64" s="340">
        <v>0</v>
      </c>
      <c r="L64" s="373">
        <v>0</v>
      </c>
      <c r="N64" s="196">
        <v>10000</v>
      </c>
      <c r="O64" s="197">
        <v>30</v>
      </c>
      <c r="P64" s="197">
        <f>N64*O64</f>
        <v>300000</v>
      </c>
      <c r="Q64" s="164">
        <f t="shared" si="20"/>
        <v>0.5</v>
      </c>
    </row>
    <row r="65" spans="1:17">
      <c r="A65" s="236"/>
      <c r="B65" s="237"/>
      <c r="C65" s="238"/>
      <c r="D65" s="375">
        <f>SUM(D49:D64)</f>
        <v>437500</v>
      </c>
      <c r="E65" s="239"/>
      <c r="F65" s="375">
        <f>SUM(F49:F64)</f>
        <v>26574750</v>
      </c>
      <c r="G65" s="240"/>
      <c r="I65" s="371">
        <f>SUM(I49:I64)</f>
        <v>130000</v>
      </c>
      <c r="J65" s="239"/>
      <c r="K65" s="371">
        <f>SUM(K49:K64)</f>
        <v>6970000</v>
      </c>
      <c r="L65" s="240"/>
      <c r="N65" s="369">
        <f>SUM(N49:N64)</f>
        <v>318000</v>
      </c>
      <c r="O65" s="239"/>
      <c r="P65" s="370">
        <f>SUM(P49:P64)</f>
        <v>13959000</v>
      </c>
      <c r="Q65" s="240"/>
    </row>
    <row r="66" spans="1:17">
      <c r="A66" s="236"/>
      <c r="B66" s="237"/>
      <c r="C66" s="238"/>
      <c r="D66" s="395"/>
      <c r="E66" s="396"/>
      <c r="F66" s="395"/>
      <c r="G66" s="397"/>
      <c r="H66" s="81"/>
      <c r="I66" s="395"/>
      <c r="J66" s="396"/>
      <c r="K66" s="395"/>
      <c r="L66" s="397"/>
      <c r="M66" s="81"/>
      <c r="N66" s="395"/>
      <c r="O66" s="396"/>
      <c r="P66" s="396"/>
      <c r="Q66" s="397"/>
    </row>
    <row r="67" spans="1:17" ht="27">
      <c r="B67" s="307" t="s">
        <v>148</v>
      </c>
      <c r="C67" s="307"/>
      <c r="D67" s="307"/>
      <c r="E67" s="306"/>
      <c r="F67" s="306"/>
      <c r="P67" s="260"/>
    </row>
    <row r="68" spans="1:17">
      <c r="A68" s="215" t="s">
        <v>96</v>
      </c>
      <c r="B68" s="216" t="s">
        <v>97</v>
      </c>
      <c r="C68" s="221">
        <v>150</v>
      </c>
      <c r="D68" s="223">
        <v>45000</v>
      </c>
      <c r="E68" s="203">
        <v>68</v>
      </c>
      <c r="F68" s="203">
        <f>D68*E68</f>
        <v>3060000</v>
      </c>
      <c r="G68" s="198">
        <f>E68/C68</f>
        <v>0.45333333333333331</v>
      </c>
      <c r="I68" s="226">
        <v>30000</v>
      </c>
      <c r="J68" s="261">
        <v>82.5</v>
      </c>
      <c r="K68" s="264">
        <f>I68*J68</f>
        <v>2475000</v>
      </c>
      <c r="L68" s="227">
        <f>J68/C68</f>
        <v>0.55000000000000004</v>
      </c>
      <c r="N68" s="226">
        <v>28000</v>
      </c>
      <c r="O68" s="261">
        <v>77</v>
      </c>
      <c r="P68" s="261">
        <f>N68*O68</f>
        <v>2156000</v>
      </c>
      <c r="Q68" s="227">
        <f>O68/C68</f>
        <v>0.51333333333333331</v>
      </c>
    </row>
    <row r="69" spans="1:17">
      <c r="A69" s="217" t="s">
        <v>98</v>
      </c>
      <c r="B69" s="218" t="s">
        <v>99</v>
      </c>
      <c r="C69" s="156">
        <v>150</v>
      </c>
      <c r="D69" s="224">
        <v>43000</v>
      </c>
      <c r="E69" s="192">
        <v>71</v>
      </c>
      <c r="F69" s="192">
        <f>D69*E69</f>
        <v>3053000</v>
      </c>
      <c r="G69" s="200">
        <f>E69/C69</f>
        <v>0.47333333333333333</v>
      </c>
      <c r="I69" s="230">
        <v>30000</v>
      </c>
      <c r="J69" s="262">
        <v>79</v>
      </c>
      <c r="K69" s="265">
        <f t="shared" ref="K69:K70" si="23">I69*J69</f>
        <v>2370000</v>
      </c>
      <c r="L69" s="231">
        <f t="shared" ref="L69:L70" si="24">J69/C69</f>
        <v>0.52666666666666662</v>
      </c>
      <c r="M69" s="232"/>
      <c r="N69" s="233">
        <v>28000</v>
      </c>
      <c r="O69" s="262">
        <v>79</v>
      </c>
      <c r="P69" s="262">
        <f t="shared" ref="P69:P70" si="25">N69*O69</f>
        <v>2212000</v>
      </c>
      <c r="Q69" s="234">
        <f t="shared" ref="Q69:Q70" si="26">O69/C69</f>
        <v>0.52666666666666662</v>
      </c>
    </row>
    <row r="70" spans="1:17">
      <c r="A70" s="219" t="s">
        <v>100</v>
      </c>
      <c r="B70" s="220" t="s">
        <v>101</v>
      </c>
      <c r="C70" s="222">
        <v>150</v>
      </c>
      <c r="D70" s="225">
        <v>30000</v>
      </c>
      <c r="E70" s="204">
        <v>74</v>
      </c>
      <c r="F70" s="204">
        <f>D70*E70</f>
        <v>2220000</v>
      </c>
      <c r="G70" s="201">
        <f>E70/C70</f>
        <v>0.49333333333333335</v>
      </c>
      <c r="I70" s="228">
        <v>30000</v>
      </c>
      <c r="J70" s="263">
        <v>74</v>
      </c>
      <c r="K70" s="266">
        <f t="shared" si="23"/>
        <v>2220000</v>
      </c>
      <c r="L70" s="229">
        <f t="shared" si="24"/>
        <v>0.49333333333333335</v>
      </c>
      <c r="N70" s="228">
        <v>35000</v>
      </c>
      <c r="O70" s="263">
        <v>73</v>
      </c>
      <c r="P70" s="263">
        <f t="shared" si="25"/>
        <v>2555000</v>
      </c>
      <c r="Q70" s="235">
        <f t="shared" si="26"/>
        <v>0.48666666666666669</v>
      </c>
    </row>
    <row r="71" spans="1:17">
      <c r="D71" s="375">
        <f>SUM(D68:D70)</f>
        <v>118000</v>
      </c>
      <c r="F71" s="375">
        <f>SUM(F68:F70)</f>
        <v>8333000</v>
      </c>
      <c r="I71" s="371">
        <f>SUM(I68:I70)</f>
        <v>90000</v>
      </c>
      <c r="K71" s="371">
        <f>SUM(K68:K70)</f>
        <v>7065000</v>
      </c>
      <c r="N71" s="369">
        <f>SUM(N68:N70)</f>
        <v>91000</v>
      </c>
      <c r="P71" s="369">
        <f>SUM(P68:P70)</f>
        <v>6923000</v>
      </c>
    </row>
    <row r="72" spans="1:17" ht="34.5" customHeight="1">
      <c r="B72" s="306" t="s">
        <v>153</v>
      </c>
      <c r="C72" s="306"/>
      <c r="D72" s="306"/>
      <c r="E72" s="306"/>
      <c r="F72" s="306"/>
      <c r="K72" s="259"/>
    </row>
    <row r="73" spans="1:17">
      <c r="A73" s="400" t="s">
        <v>92</v>
      </c>
      <c r="B73" s="244" t="s">
        <v>93</v>
      </c>
      <c r="C73" s="245">
        <v>125</v>
      </c>
      <c r="D73" s="246">
        <v>15000</v>
      </c>
      <c r="E73" s="267">
        <v>57</v>
      </c>
      <c r="F73" s="268">
        <f t="shared" ref="F73:F74" si="27">D73*E73</f>
        <v>855000</v>
      </c>
      <c r="G73" s="247">
        <f t="shared" ref="G73:G74" si="28">E73/C73</f>
        <v>0.45600000000000002</v>
      </c>
      <c r="H73" s="146"/>
      <c r="I73" s="257">
        <v>20000</v>
      </c>
      <c r="J73" s="209">
        <v>54.5</v>
      </c>
      <c r="K73" s="274">
        <f t="shared" ref="K73:K75" si="29">I73*J73</f>
        <v>1090000</v>
      </c>
      <c r="L73" s="160">
        <f>J73/C73</f>
        <v>0.436</v>
      </c>
      <c r="N73" s="297" t="s">
        <v>154</v>
      </c>
      <c r="O73" s="298"/>
      <c r="P73" s="298"/>
      <c r="Q73" s="299"/>
    </row>
    <row r="74" spans="1:17">
      <c r="A74" s="401" t="s">
        <v>162</v>
      </c>
      <c r="B74" s="248" t="s">
        <v>149</v>
      </c>
      <c r="C74" s="249">
        <v>125</v>
      </c>
      <c r="D74" s="250">
        <v>15000</v>
      </c>
      <c r="E74" s="36">
        <v>57</v>
      </c>
      <c r="F74" s="269">
        <f t="shared" si="27"/>
        <v>855000</v>
      </c>
      <c r="G74" s="162">
        <f t="shared" si="28"/>
        <v>0.45600000000000002</v>
      </c>
      <c r="H74" s="146"/>
      <c r="I74" s="250">
        <v>20000</v>
      </c>
      <c r="J74" s="36">
        <v>54.5</v>
      </c>
      <c r="K74" s="275">
        <f t="shared" si="29"/>
        <v>1090000</v>
      </c>
      <c r="L74" s="162">
        <f t="shared" ref="L74:L78" si="30">J74/C74</f>
        <v>0.436</v>
      </c>
      <c r="N74" s="300"/>
      <c r="O74" s="301"/>
      <c r="P74" s="301"/>
      <c r="Q74" s="302"/>
    </row>
    <row r="75" spans="1:17">
      <c r="A75" s="401" t="s">
        <v>94</v>
      </c>
      <c r="B75" s="248" t="s">
        <v>95</v>
      </c>
      <c r="C75" s="249">
        <v>125</v>
      </c>
      <c r="D75" s="32">
        <v>0</v>
      </c>
      <c r="E75" s="151">
        <v>0</v>
      </c>
      <c r="F75" s="36">
        <v>0</v>
      </c>
      <c r="G75" s="194">
        <v>0</v>
      </c>
      <c r="H75" s="146"/>
      <c r="I75" s="32">
        <v>20000</v>
      </c>
      <c r="J75" s="36">
        <v>54.5</v>
      </c>
      <c r="K75" s="275">
        <f t="shared" si="29"/>
        <v>1090000</v>
      </c>
      <c r="L75" s="162">
        <f t="shared" si="30"/>
        <v>0.436</v>
      </c>
      <c r="N75" s="300"/>
      <c r="O75" s="301"/>
      <c r="P75" s="301"/>
      <c r="Q75" s="302"/>
    </row>
    <row r="76" spans="1:17">
      <c r="A76" s="401" t="s">
        <v>163</v>
      </c>
      <c r="B76" s="186" t="s">
        <v>150</v>
      </c>
      <c r="C76" s="251">
        <v>155</v>
      </c>
      <c r="D76" s="252">
        <v>15000</v>
      </c>
      <c r="E76" s="270">
        <v>59</v>
      </c>
      <c r="F76" s="271">
        <f>D76*E76</f>
        <v>885000</v>
      </c>
      <c r="G76" s="162">
        <f t="shared" ref="G76:G78" si="31">E76/C76</f>
        <v>0.38064516129032255</v>
      </c>
      <c r="H76" s="146"/>
      <c r="I76" s="252">
        <v>18000</v>
      </c>
      <c r="J76" s="270">
        <v>59</v>
      </c>
      <c r="K76" s="276">
        <f>I76*J76</f>
        <v>1062000</v>
      </c>
      <c r="L76" s="162">
        <f t="shared" si="30"/>
        <v>0.38064516129032255</v>
      </c>
      <c r="N76" s="300"/>
      <c r="O76" s="301"/>
      <c r="P76" s="301"/>
      <c r="Q76" s="302"/>
    </row>
    <row r="77" spans="1:17">
      <c r="A77" s="401" t="s">
        <v>164</v>
      </c>
      <c r="B77" s="186" t="s">
        <v>151</v>
      </c>
      <c r="C77" s="251">
        <v>155</v>
      </c>
      <c r="D77" s="252">
        <v>15000</v>
      </c>
      <c r="E77" s="270">
        <v>59</v>
      </c>
      <c r="F77" s="271">
        <f t="shared" ref="F77:F78" si="32">D77*E77</f>
        <v>885000</v>
      </c>
      <c r="G77" s="162">
        <f t="shared" si="31"/>
        <v>0.38064516129032255</v>
      </c>
      <c r="H77" s="146"/>
      <c r="I77" s="252">
        <v>18000</v>
      </c>
      <c r="J77" s="270">
        <v>59</v>
      </c>
      <c r="K77" s="276">
        <f t="shared" ref="K77:K78" si="33">I77*J77</f>
        <v>1062000</v>
      </c>
      <c r="L77" s="162">
        <f t="shared" si="30"/>
        <v>0.38064516129032255</v>
      </c>
      <c r="N77" s="300"/>
      <c r="O77" s="301"/>
      <c r="P77" s="301"/>
      <c r="Q77" s="302"/>
    </row>
    <row r="78" spans="1:17">
      <c r="A78" s="402" t="s">
        <v>165</v>
      </c>
      <c r="B78" s="253" t="s">
        <v>152</v>
      </c>
      <c r="C78" s="254">
        <v>155</v>
      </c>
      <c r="D78" s="255">
        <v>15000</v>
      </c>
      <c r="E78" s="272">
        <v>59</v>
      </c>
      <c r="F78" s="273">
        <f t="shared" si="32"/>
        <v>885000</v>
      </c>
      <c r="G78" s="256">
        <f t="shared" si="31"/>
        <v>0.38064516129032255</v>
      </c>
      <c r="H78" s="146"/>
      <c r="I78" s="258">
        <v>18000</v>
      </c>
      <c r="J78" s="277">
        <v>59</v>
      </c>
      <c r="K78" s="278">
        <f t="shared" si="33"/>
        <v>1062000</v>
      </c>
      <c r="L78" s="164">
        <f t="shared" si="30"/>
        <v>0.38064516129032255</v>
      </c>
      <c r="N78" s="303"/>
      <c r="O78" s="304"/>
      <c r="P78" s="304"/>
      <c r="Q78" s="305"/>
    </row>
    <row r="79" spans="1:17">
      <c r="D79" s="375">
        <f>SUM(D76:D78)</f>
        <v>45000</v>
      </c>
      <c r="F79" s="375">
        <f>SUM(F76:F78)</f>
        <v>2655000</v>
      </c>
      <c r="I79" s="371">
        <f>SUM(I76:I78)</f>
        <v>54000</v>
      </c>
      <c r="K79" s="371">
        <f>SUM(K76:K78)</f>
        <v>3186000</v>
      </c>
    </row>
    <row r="80" spans="1:17">
      <c r="D80" s="395"/>
      <c r="E80" s="81"/>
      <c r="F80" s="395"/>
      <c r="G80" s="81"/>
      <c r="H80" s="81"/>
      <c r="I80" s="395"/>
      <c r="J80" s="81"/>
      <c r="K80" s="395"/>
      <c r="L80" s="81"/>
    </row>
    <row r="81" spans="1:22" ht="33.75" customHeight="1">
      <c r="B81" s="295" t="s">
        <v>155</v>
      </c>
      <c r="C81" s="295"/>
      <c r="D81" s="295"/>
      <c r="E81" s="295"/>
      <c r="F81" s="295"/>
      <c r="S81" s="342"/>
      <c r="T81" s="342"/>
      <c r="U81" s="342"/>
      <c r="V81" s="342"/>
    </row>
    <row r="82" spans="1:22" ht="15" customHeight="1">
      <c r="A82" s="288" t="s">
        <v>82</v>
      </c>
      <c r="B82" s="320" t="s">
        <v>136</v>
      </c>
      <c r="C82" s="321">
        <v>60</v>
      </c>
      <c r="D82" s="322">
        <v>0</v>
      </c>
      <c r="E82" s="323">
        <v>0</v>
      </c>
      <c r="F82" s="267">
        <v>0</v>
      </c>
      <c r="G82" s="324">
        <v>0</v>
      </c>
      <c r="H82" s="319"/>
      <c r="I82" s="291">
        <v>12000</v>
      </c>
      <c r="J82" s="292">
        <v>13.37</v>
      </c>
      <c r="K82" s="292">
        <f t="shared" ref="K82:K90" si="34">I82*J82</f>
        <v>160440</v>
      </c>
      <c r="L82" s="279">
        <f>J82/C82</f>
        <v>0.22283333333333333</v>
      </c>
      <c r="N82" s="26">
        <v>0</v>
      </c>
      <c r="O82" s="208">
        <v>0</v>
      </c>
      <c r="P82" s="209">
        <v>0</v>
      </c>
      <c r="Q82" s="210">
        <v>0</v>
      </c>
      <c r="S82" s="309" t="s">
        <v>156</v>
      </c>
      <c r="T82" s="310"/>
      <c r="U82" s="310"/>
      <c r="V82" s="311"/>
    </row>
    <row r="83" spans="1:22">
      <c r="A83" s="283" t="s">
        <v>83</v>
      </c>
      <c r="B83" s="280" t="s">
        <v>137</v>
      </c>
      <c r="C83" s="281">
        <v>60</v>
      </c>
      <c r="D83" s="32">
        <v>0</v>
      </c>
      <c r="E83" s="151">
        <v>0</v>
      </c>
      <c r="F83" s="36">
        <v>0</v>
      </c>
      <c r="G83" s="325">
        <v>0</v>
      </c>
      <c r="H83" s="319"/>
      <c r="I83" s="293">
        <v>10000</v>
      </c>
      <c r="J83" s="294">
        <v>13.37</v>
      </c>
      <c r="K83" s="294">
        <f t="shared" si="34"/>
        <v>133700</v>
      </c>
      <c r="L83" s="282">
        <f t="shared" ref="L83:L90" si="35">J83/C83</f>
        <v>0.22283333333333333</v>
      </c>
      <c r="N83" s="32">
        <v>0</v>
      </c>
      <c r="O83" s="151">
        <v>0</v>
      </c>
      <c r="P83" s="36">
        <v>0</v>
      </c>
      <c r="Q83" s="194">
        <v>0</v>
      </c>
      <c r="S83" s="312"/>
      <c r="T83" s="313"/>
      <c r="U83" s="313"/>
      <c r="V83" s="314"/>
    </row>
    <row r="84" spans="1:22">
      <c r="A84" s="283" t="s">
        <v>84</v>
      </c>
      <c r="B84" s="280" t="s">
        <v>85</v>
      </c>
      <c r="C84" s="281">
        <v>60</v>
      </c>
      <c r="D84" s="32">
        <v>0</v>
      </c>
      <c r="E84" s="151">
        <v>0</v>
      </c>
      <c r="F84" s="36">
        <v>0</v>
      </c>
      <c r="G84" s="325">
        <v>0</v>
      </c>
      <c r="H84" s="319"/>
      <c r="I84" s="293">
        <v>7000</v>
      </c>
      <c r="J84" s="294">
        <v>14.44</v>
      </c>
      <c r="K84" s="294">
        <f t="shared" si="34"/>
        <v>101080</v>
      </c>
      <c r="L84" s="282">
        <f t="shared" si="35"/>
        <v>0.24066666666666667</v>
      </c>
      <c r="N84" s="32">
        <v>0</v>
      </c>
      <c r="O84" s="151">
        <v>0</v>
      </c>
      <c r="P84" s="36">
        <v>0</v>
      </c>
      <c r="Q84" s="194">
        <v>0</v>
      </c>
      <c r="S84" s="312"/>
      <c r="T84" s="313"/>
      <c r="U84" s="313"/>
      <c r="V84" s="314"/>
    </row>
    <row r="85" spans="1:22">
      <c r="A85" s="283" t="s">
        <v>86</v>
      </c>
      <c r="B85" s="280" t="s">
        <v>87</v>
      </c>
      <c r="C85" s="284">
        <v>60</v>
      </c>
      <c r="D85" s="285">
        <v>3000</v>
      </c>
      <c r="E85" s="286">
        <v>15.51</v>
      </c>
      <c r="F85" s="286">
        <v>43500</v>
      </c>
      <c r="G85" s="282">
        <f>E85/C85</f>
        <v>0.25850000000000001</v>
      </c>
      <c r="H85" s="319"/>
      <c r="I85" s="293">
        <v>7000</v>
      </c>
      <c r="J85" s="294">
        <v>14.44</v>
      </c>
      <c r="K85" s="294">
        <f t="shared" si="34"/>
        <v>101080</v>
      </c>
      <c r="L85" s="282">
        <f t="shared" si="35"/>
        <v>0.24066666666666667</v>
      </c>
      <c r="N85" s="32">
        <v>0</v>
      </c>
      <c r="O85" s="151">
        <v>0</v>
      </c>
      <c r="P85" s="36">
        <v>0</v>
      </c>
      <c r="Q85" s="194">
        <v>0</v>
      </c>
      <c r="S85" s="312"/>
      <c r="T85" s="313"/>
      <c r="U85" s="313"/>
      <c r="V85" s="314"/>
    </row>
    <row r="86" spans="1:22">
      <c r="A86" s="283" t="s">
        <v>88</v>
      </c>
      <c r="B86" s="280" t="s">
        <v>89</v>
      </c>
      <c r="C86" s="281">
        <v>60</v>
      </c>
      <c r="D86" s="32">
        <v>0</v>
      </c>
      <c r="E86" s="151">
        <v>0</v>
      </c>
      <c r="F86" s="36">
        <v>0</v>
      </c>
      <c r="G86" s="325">
        <v>0</v>
      </c>
      <c r="H86" s="319"/>
      <c r="I86" s="293">
        <v>3000</v>
      </c>
      <c r="J86" s="294">
        <v>15.51</v>
      </c>
      <c r="K86" s="294">
        <f t="shared" si="34"/>
        <v>46530</v>
      </c>
      <c r="L86" s="282">
        <f t="shared" si="35"/>
        <v>0.25850000000000001</v>
      </c>
      <c r="N86" s="32">
        <v>0</v>
      </c>
      <c r="O86" s="151">
        <v>0</v>
      </c>
      <c r="P86" s="36">
        <v>0</v>
      </c>
      <c r="Q86" s="194">
        <v>0</v>
      </c>
      <c r="S86" s="312"/>
      <c r="T86" s="313"/>
      <c r="U86" s="313"/>
      <c r="V86" s="314"/>
    </row>
    <row r="87" spans="1:22">
      <c r="A87" s="283" t="s">
        <v>90</v>
      </c>
      <c r="B87" s="280" t="s">
        <v>91</v>
      </c>
      <c r="C87" s="284">
        <v>60</v>
      </c>
      <c r="D87" s="285">
        <v>4000</v>
      </c>
      <c r="E87" s="286">
        <v>14.98</v>
      </c>
      <c r="F87" s="286">
        <v>56000</v>
      </c>
      <c r="G87" s="282">
        <f>E87/C87</f>
        <v>0.24966666666666668</v>
      </c>
      <c r="H87" s="319"/>
      <c r="I87" s="293">
        <v>3000</v>
      </c>
      <c r="J87" s="294">
        <v>15.51</v>
      </c>
      <c r="K87" s="294">
        <f t="shared" si="34"/>
        <v>46530</v>
      </c>
      <c r="L87" s="282">
        <f t="shared" si="35"/>
        <v>0.25850000000000001</v>
      </c>
      <c r="N87" s="32">
        <v>0</v>
      </c>
      <c r="O87" s="151">
        <v>0</v>
      </c>
      <c r="P87" s="36">
        <v>0</v>
      </c>
      <c r="Q87" s="194">
        <v>0</v>
      </c>
      <c r="S87" s="312"/>
      <c r="T87" s="313"/>
      <c r="U87" s="313"/>
      <c r="V87" s="314"/>
    </row>
    <row r="88" spans="1:22">
      <c r="A88" s="290" t="s">
        <v>82</v>
      </c>
      <c r="B88" s="280" t="s">
        <v>136</v>
      </c>
      <c r="C88" s="281">
        <v>60</v>
      </c>
      <c r="D88" s="32">
        <v>0</v>
      </c>
      <c r="E88" s="151">
        <v>0</v>
      </c>
      <c r="F88" s="36">
        <v>0</v>
      </c>
      <c r="G88" s="325">
        <v>0</v>
      </c>
      <c r="H88" s="319"/>
      <c r="I88" s="293">
        <v>4000</v>
      </c>
      <c r="J88" s="294">
        <v>14.01</v>
      </c>
      <c r="K88" s="294">
        <f t="shared" si="34"/>
        <v>56040</v>
      </c>
      <c r="L88" s="282">
        <f t="shared" si="35"/>
        <v>0.23349999999999999</v>
      </c>
      <c r="N88" s="32">
        <v>0</v>
      </c>
      <c r="O88" s="151">
        <v>0</v>
      </c>
      <c r="P88" s="36">
        <v>0</v>
      </c>
      <c r="Q88" s="194">
        <v>0</v>
      </c>
      <c r="S88" s="312"/>
      <c r="T88" s="313"/>
      <c r="U88" s="313"/>
      <c r="V88" s="314"/>
    </row>
    <row r="89" spans="1:22">
      <c r="A89" s="283" t="s">
        <v>83</v>
      </c>
      <c r="B89" s="280" t="s">
        <v>137</v>
      </c>
      <c r="C89" s="287">
        <v>60</v>
      </c>
      <c r="D89" s="32">
        <v>0</v>
      </c>
      <c r="E89" s="151">
        <v>0</v>
      </c>
      <c r="F89" s="36">
        <v>0</v>
      </c>
      <c r="G89" s="325">
        <v>0</v>
      </c>
      <c r="H89" s="319"/>
      <c r="I89" s="293">
        <v>4000</v>
      </c>
      <c r="J89" s="294">
        <v>14.01</v>
      </c>
      <c r="K89" s="294">
        <f t="shared" si="34"/>
        <v>56040</v>
      </c>
      <c r="L89" s="282">
        <f t="shared" si="35"/>
        <v>0.23349999999999999</v>
      </c>
      <c r="N89" s="32">
        <v>0</v>
      </c>
      <c r="O89" s="151">
        <v>0</v>
      </c>
      <c r="P89" s="36">
        <v>0</v>
      </c>
      <c r="Q89" s="194">
        <v>0</v>
      </c>
      <c r="S89" s="312"/>
      <c r="T89" s="313"/>
      <c r="U89" s="313"/>
      <c r="V89" s="314"/>
    </row>
    <row r="90" spans="1:22">
      <c r="A90" s="283" t="s">
        <v>84</v>
      </c>
      <c r="B90" s="280" t="s">
        <v>85</v>
      </c>
      <c r="C90" s="318">
        <v>60</v>
      </c>
      <c r="D90" s="32">
        <v>0</v>
      </c>
      <c r="E90" s="151">
        <v>0</v>
      </c>
      <c r="F90" s="36">
        <v>0</v>
      </c>
      <c r="G90" s="325">
        <v>0</v>
      </c>
      <c r="H90" s="319"/>
      <c r="I90" s="293">
        <v>5000</v>
      </c>
      <c r="J90" s="294">
        <v>13.91</v>
      </c>
      <c r="K90" s="294">
        <f t="shared" si="34"/>
        <v>69550</v>
      </c>
      <c r="L90" s="282">
        <f t="shared" si="35"/>
        <v>0.23183333333333334</v>
      </c>
      <c r="N90" s="32">
        <v>0</v>
      </c>
      <c r="O90" s="151">
        <v>0</v>
      </c>
      <c r="P90" s="36">
        <v>0</v>
      </c>
      <c r="Q90" s="194">
        <v>0</v>
      </c>
      <c r="S90" s="315"/>
      <c r="T90" s="316"/>
      <c r="U90" s="316"/>
      <c r="V90" s="317"/>
    </row>
    <row r="91" spans="1:22">
      <c r="A91" s="283" t="s">
        <v>92</v>
      </c>
      <c r="B91" s="248" t="s">
        <v>93</v>
      </c>
      <c r="C91" s="249">
        <v>125</v>
      </c>
      <c r="D91" s="32">
        <v>0</v>
      </c>
      <c r="E91" s="151">
        <v>0</v>
      </c>
      <c r="F91" s="36">
        <v>0</v>
      </c>
      <c r="G91" s="325">
        <v>0</v>
      </c>
      <c r="I91" s="92">
        <v>0</v>
      </c>
      <c r="J91" s="337">
        <v>0</v>
      </c>
      <c r="K91" s="35">
        <v>0</v>
      </c>
      <c r="L91" s="338">
        <v>0</v>
      </c>
      <c r="N91" s="332">
        <v>5500</v>
      </c>
      <c r="O91" s="333">
        <v>39.590000000000003</v>
      </c>
      <c r="P91" s="36">
        <f>N91*O91</f>
        <v>217745.00000000003</v>
      </c>
      <c r="Q91" s="336">
        <f>O91/C91</f>
        <v>0.31672</v>
      </c>
    </row>
    <row r="92" spans="1:22">
      <c r="A92" s="289" t="s">
        <v>94</v>
      </c>
      <c r="B92" s="326" t="s">
        <v>95</v>
      </c>
      <c r="C92" s="327">
        <v>125</v>
      </c>
      <c r="D92" s="328">
        <v>0</v>
      </c>
      <c r="E92" s="329">
        <v>0</v>
      </c>
      <c r="F92" s="330">
        <v>0</v>
      </c>
      <c r="G92" s="331">
        <v>0</v>
      </c>
      <c r="I92" s="328">
        <v>0</v>
      </c>
      <c r="J92" s="329">
        <v>0</v>
      </c>
      <c r="K92" s="330">
        <v>0</v>
      </c>
      <c r="L92" s="331">
        <v>0</v>
      </c>
      <c r="N92" s="334">
        <v>2000</v>
      </c>
      <c r="O92" s="335">
        <v>44.49</v>
      </c>
      <c r="P92" s="340">
        <f>N92*O92</f>
        <v>88980</v>
      </c>
      <c r="Q92" s="341">
        <f>O92/C92</f>
        <v>0.35592000000000001</v>
      </c>
    </row>
    <row r="93" spans="1:22">
      <c r="D93" s="376">
        <f>SUM(D82:D92)</f>
        <v>7000</v>
      </c>
      <c r="F93" s="377">
        <f>SUM(F82:F92)</f>
        <v>99500</v>
      </c>
      <c r="G93" s="344"/>
      <c r="H93" s="344"/>
      <c r="I93" s="378">
        <f>SUM(I82:I92)</f>
        <v>55000</v>
      </c>
      <c r="J93" s="344"/>
      <c r="K93" s="379">
        <f>SUM(K82:K92)</f>
        <v>770990</v>
      </c>
      <c r="L93" s="344"/>
      <c r="M93" s="344"/>
      <c r="N93" s="380">
        <f>SUM(N91:N92)</f>
        <v>7500</v>
      </c>
      <c r="P93" s="381">
        <f>SUM(P82:P92)</f>
        <v>306725</v>
      </c>
    </row>
    <row r="94" spans="1:22">
      <c r="K94" s="339"/>
      <c r="P94" s="69"/>
    </row>
    <row r="95" spans="1:22">
      <c r="K95" s="343"/>
    </row>
    <row r="96" spans="1:22">
      <c r="B96" s="386" t="s">
        <v>160</v>
      </c>
      <c r="C96" s="383"/>
      <c r="D96" s="348">
        <f>D93+D79+D71+D65+D46+D39</f>
        <v>740500</v>
      </c>
      <c r="E96" s="383"/>
      <c r="F96" s="349">
        <f>F93+F79+F71+F65+F46+F39</f>
        <v>40768839.5</v>
      </c>
      <c r="G96" s="382" t="s">
        <v>59</v>
      </c>
      <c r="I96" s="348">
        <f>I93+I79+I71+I65+I46+I39</f>
        <v>931000</v>
      </c>
      <c r="K96" s="349">
        <f>K93+K79+K71+K65+K46+K39</f>
        <v>32143430</v>
      </c>
      <c r="L96" s="382" t="s">
        <v>59</v>
      </c>
      <c r="N96" s="348">
        <f>N93+N79+N71+N65+N46+N39</f>
        <v>533500</v>
      </c>
      <c r="P96" s="349">
        <f>P93+P79+P71+P65+P46+P39</f>
        <v>23759645</v>
      </c>
      <c r="Q96" s="382" t="s">
        <v>59</v>
      </c>
    </row>
    <row r="98" spans="5:17">
      <c r="E98" s="384" t="s">
        <v>108</v>
      </c>
      <c r="F98" s="385">
        <f>F96/D96</f>
        <v>55.055826468602298</v>
      </c>
      <c r="G98" s="382" t="s">
        <v>59</v>
      </c>
      <c r="K98" s="385">
        <f>K96/I96</f>
        <v>34.525703544575727</v>
      </c>
      <c r="L98" s="382" t="s">
        <v>59</v>
      </c>
      <c r="P98" s="385">
        <f>P96/N96</f>
        <v>44.535417057169632</v>
      </c>
      <c r="Q98" s="382" t="s">
        <v>59</v>
      </c>
    </row>
  </sheetData>
  <mergeCells count="9">
    <mergeCell ref="S82:V90"/>
    <mergeCell ref="S81:V81"/>
    <mergeCell ref="B41:F41"/>
    <mergeCell ref="I1:L1"/>
    <mergeCell ref="N1:Q1"/>
    <mergeCell ref="N73:Q78"/>
    <mergeCell ref="B72:F72"/>
    <mergeCell ref="B48:F48"/>
    <mergeCell ref="B67:F67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จัดซื้อ 1</vt:lpstr>
      <vt:lpstr>Supplier 67-69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2026-07-16T03:29:53Z</dcterms:created>
  <dcterms:modified xsi:type="dcterms:W3CDTF">2026-07-16T08:52:38Z</dcterms:modified>
</cp:coreProperties>
</file>